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fyabdulla/Desktop/UofT/Research/Country Analysis/"/>
    </mc:Choice>
  </mc:AlternateContent>
  <xr:revisionPtr revIDLastSave="0" documentId="13_ncr:1_{2784EAE4-DB29-9249-9816-907BEC6948FB}" xr6:coauthVersionLast="47" xr6:coauthVersionMax="47" xr10:uidLastSave="{00000000-0000-0000-0000-000000000000}"/>
  <bookViews>
    <workbookView xWindow="0" yWindow="0" windowWidth="33600" windowHeight="21000" activeTab="1" xr2:uid="{FE0B2E2B-5C1B-664C-AB53-B9A510BC1E7A}"/>
  </bookViews>
  <sheets>
    <sheet name="Radial Bar Chart" sheetId="1" r:id="rId1"/>
    <sheet name="Sankey Diagram" sheetId="2" r:id="rId2"/>
    <sheet name="Lit" sheetId="3" r:id="rId3"/>
    <sheet name="Sheet4" sheetId="4" r:id="rId4"/>
    <sheet name="Sheet5" sheetId="5" r:id="rId5"/>
  </sheets>
  <definedNames>
    <definedName name="_xlchart.v1.0" hidden="1">'Sankey Diagram'!$M$11:$M$15</definedName>
    <definedName name="_xlchart.v1.1" hidden="1">'Sankey Diagram'!$N$10</definedName>
    <definedName name="_xlchart.v1.2" hidden="1">'Sankey Diagram'!$N$11:$N$15</definedName>
    <definedName name="_xlchart.v1.3" hidden="1">'Sankey Diagram'!$O$10</definedName>
    <definedName name="_xlchart.v1.4" hidden="1">'Sankey Diagram'!$O$11:$O$15</definedName>
    <definedName name="_xlchart.v1.5" hidden="1">'Sankey Diagram'!$M$11:$M$15</definedName>
    <definedName name="_xlchart.v1.6" hidden="1">'Sankey Diagram'!$N$10</definedName>
    <definedName name="_xlchart.v1.7" hidden="1">'Sankey Diagram'!$N$11:$N$15</definedName>
    <definedName name="_xlchart.v1.8" hidden="1">'Sankey Diagram'!$O$10</definedName>
    <definedName name="_xlchart.v1.9" hidden="1">'Sankey Diagram'!$O$11:$O$15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2" l="1"/>
  <c r="O15" i="2" s="1"/>
  <c r="N13" i="2"/>
  <c r="O13" i="2" s="1"/>
  <c r="N12" i="2"/>
  <c r="O12" i="2" s="1"/>
  <c r="O11" i="2"/>
</calcChain>
</file>

<file path=xl/sharedStrings.xml><?xml version="1.0" encoding="utf-8"?>
<sst xmlns="http://schemas.openxmlformats.org/spreadsheetml/2006/main" count="146" uniqueCount="142">
  <si>
    <t>CDR Unit Increase</t>
  </si>
  <si>
    <t>Commercial</t>
  </si>
  <si>
    <t>Transportation</t>
  </si>
  <si>
    <t>Agriculture</t>
  </si>
  <si>
    <t>Residential</t>
  </si>
  <si>
    <t>Industry</t>
  </si>
  <si>
    <t>India</t>
  </si>
  <si>
    <t>China</t>
  </si>
  <si>
    <t>Indonesia</t>
  </si>
  <si>
    <t>South Korea</t>
  </si>
  <si>
    <t>Vietnam</t>
  </si>
  <si>
    <t>Mexico</t>
  </si>
  <si>
    <t>South Africa</t>
  </si>
  <si>
    <t>USA</t>
  </si>
  <si>
    <t>Europe</t>
  </si>
  <si>
    <t>Russia</t>
  </si>
  <si>
    <t>Turkey</t>
  </si>
  <si>
    <t>Brazil</t>
  </si>
  <si>
    <t>Canada</t>
  </si>
  <si>
    <t>Japan</t>
  </si>
  <si>
    <t>Pakistan</t>
  </si>
  <si>
    <t>Taiwan</t>
  </si>
  <si>
    <t>Colombia</t>
  </si>
  <si>
    <t>Argentina</t>
  </si>
  <si>
    <t>Thailand</t>
  </si>
  <si>
    <t>Australia</t>
  </si>
  <si>
    <t>GBR</t>
  </si>
  <si>
    <t>Saudi Arabia</t>
  </si>
  <si>
    <t>Sector</t>
  </si>
  <si>
    <t>No</t>
  </si>
  <si>
    <t>Yes</t>
  </si>
  <si>
    <t>Key uncertainties behind global projections of direct air capture deployment</t>
  </si>
  <si>
    <r>
      <t>Kasra Motlaghzadeh </t>
    </r>
    <r>
      <rPr>
        <sz val="12"/>
        <color rgb="FF1F1F1F"/>
        <rFont val="Arial"/>
        <family val="2"/>
      </rPr>
      <t>a</t>
    </r>
    <r>
      <rPr>
        <sz val="16"/>
        <color rgb="FF1F1F1F"/>
        <rFont val="Arial"/>
        <family val="2"/>
      </rPr>
      <t>, Vanessa Schweizer </t>
    </r>
    <r>
      <rPr>
        <sz val="12"/>
        <color rgb="FF1F1F1F"/>
        <rFont val="Arial"/>
        <family val="2"/>
      </rPr>
      <t>b</t>
    </r>
    <r>
      <rPr>
        <sz val="16"/>
        <color rgb="FF1F1F1F"/>
        <rFont val="Arial"/>
        <family val="2"/>
      </rPr>
      <t> </t>
    </r>
    <r>
      <rPr>
        <sz val="12"/>
        <color rgb="FF1F1F1F"/>
        <rFont val="Arial"/>
        <family val="2"/>
      </rPr>
      <t>c</t>
    </r>
    <r>
      <rPr>
        <sz val="16"/>
        <color rgb="FF1F1F1F"/>
        <rFont val="Arial"/>
        <family val="2"/>
      </rPr>
      <t>, Neil Craik </t>
    </r>
    <r>
      <rPr>
        <sz val="12"/>
        <color rgb="FF1F1F1F"/>
        <rFont val="Arial"/>
        <family val="2"/>
      </rPr>
      <t>c</t>
    </r>
    <r>
      <rPr>
        <sz val="16"/>
        <color rgb="FF1F1F1F"/>
        <rFont val="Arial"/>
        <family val="2"/>
      </rPr>
      <t> </t>
    </r>
    <r>
      <rPr>
        <sz val="12"/>
        <color rgb="FF1F1F1F"/>
        <rFont val="Arial"/>
        <family val="2"/>
      </rPr>
      <t>d</t>
    </r>
    <r>
      <rPr>
        <sz val="16"/>
        <color rgb="FF1F1F1F"/>
        <rFont val="Arial"/>
        <family val="2"/>
      </rPr>
      <t>, Juan Moreno-Cruz </t>
    </r>
    <r>
      <rPr>
        <sz val="12"/>
        <color rgb="FF1F1F1F"/>
        <rFont val="Arial"/>
        <family val="2"/>
      </rPr>
      <t>c</t>
    </r>
    <r>
      <rPr>
        <sz val="16"/>
        <color rgb="FF1F1F1F"/>
        <rFont val="Arial"/>
        <family val="2"/>
      </rPr>
      <t> </t>
    </r>
    <r>
      <rPr>
        <sz val="12"/>
        <color rgb="FF1F1F1F"/>
        <rFont val="Arial"/>
        <family val="2"/>
      </rPr>
      <t>d</t>
    </r>
    <r>
      <rPr>
        <sz val="16"/>
        <color rgb="FF1F1F1F"/>
        <rFont val="Arial"/>
        <family val="2"/>
      </rPr>
      <t> </t>
    </r>
    <r>
      <rPr>
        <sz val="12"/>
        <color rgb="FF1F1F1F"/>
        <rFont val="Arial"/>
        <family val="2"/>
      </rPr>
      <t>e</t>
    </r>
  </si>
  <si>
    <t xml:space="preserve">Check references 2, 3, 4, 8, 19, 24, 25, 26, 27, 28, 29, 30, 31, 32, 33, 35, 36, 39, 40, 41, 42, 44, 45, 46, 47, 48, 49, 50, 51, 52, 53, 54, 55, 56, 57, 58, 63, 64, 65, 66, 68, 71, 72, 73, 74, 75, 81 </t>
  </si>
  <si>
    <t>Applying equity principles leads to higher carbon removal obligations in Canada</t>
  </si>
  <si>
    <t>Kasra Motlaghzadeh, </t>
  </si>
  <si>
    <t>Neil Craik, </t>
  </si>
  <si>
    <t>Juan Moreno-Cruz, </t>
  </si>
  <si>
    <t>Vanessa Schweizer, </t>
  </si>
  <si>
    <t>Jay Fuhrman &amp; </t>
  </si>
  <si>
    <t>Keith W. Hipel </t>
  </si>
  <si>
    <r>
      <t>The nexus between direct air capture technology and CO</t>
    </r>
    <r>
      <rPr>
        <sz val="24"/>
        <color rgb="FF1F1F1F"/>
        <rFont val="Georgia"/>
        <family val="1"/>
      </rPr>
      <t>2</t>
    </r>
    <r>
      <rPr>
        <sz val="32"/>
        <color rgb="FF1F1F1F"/>
        <rFont val="Georgia"/>
        <family val="1"/>
      </rPr>
      <t> emissions in the transport sector</t>
    </r>
  </si>
  <si>
    <r>
      <t>Emre Ünal </t>
    </r>
    <r>
      <rPr>
        <sz val="12"/>
        <color rgb="FF1F1F1F"/>
        <rFont val="Arial"/>
        <family val="2"/>
      </rPr>
      <t>a</t>
    </r>
    <r>
      <rPr>
        <sz val="16"/>
        <color rgb="FF1F1F1F"/>
        <rFont val="Arial"/>
        <family val="2"/>
      </rPr>
      <t>, Alexander Ryota Keeley </t>
    </r>
    <r>
      <rPr>
        <sz val="12"/>
        <color rgb="FF1F1F1F"/>
        <rFont val="Arial"/>
        <family val="2"/>
      </rPr>
      <t>b</t>
    </r>
    <r>
      <rPr>
        <sz val="16"/>
        <color rgb="FF1F1F1F"/>
        <rFont val="Arial"/>
        <family val="2"/>
      </rPr>
      <t>, Nezir Köse </t>
    </r>
    <r>
      <rPr>
        <sz val="12"/>
        <color rgb="FF1F1F1F"/>
        <rFont val="Arial"/>
        <family val="2"/>
      </rPr>
      <t>c</t>
    </r>
    <r>
      <rPr>
        <sz val="16"/>
        <color rgb="FF1F1F1F"/>
        <rFont val="Arial"/>
        <family val="2"/>
      </rPr>
      <t>, Andrew Chapman </t>
    </r>
    <r>
      <rPr>
        <sz val="12"/>
        <color rgb="FF1F1F1F"/>
        <rFont val="Arial"/>
        <family val="2"/>
      </rPr>
      <t>d</t>
    </r>
    <r>
      <rPr>
        <sz val="16"/>
        <color rgb="FF1F1F1F"/>
        <rFont val="Arial"/>
        <family val="2"/>
      </rPr>
      <t>, Shunsuke Managi </t>
    </r>
    <r>
      <rPr>
        <sz val="12"/>
        <color rgb="FF1F1F1F"/>
        <rFont val="Arial"/>
        <family val="2"/>
      </rPr>
      <t>b</t>
    </r>
  </si>
  <si>
    <t>Scaling carbon removal systems: deploying direct air capture amidst Canada’s low-carbon transition</t>
  </si>
  <si>
    <r>
      <t>Stephanie Rose Cortinovis</t>
    </r>
    <r>
      <rPr>
        <vertAlign val="superscript"/>
        <sz val="16"/>
        <color rgb="FF282828"/>
        <rFont val="Helvetica"/>
      </rPr>
      <t>1*</t>
    </r>
  </si>
  <si>
    <r>
      <t>Neil Craik</t>
    </r>
    <r>
      <rPr>
        <vertAlign val="superscript"/>
        <sz val="16"/>
        <color rgb="FF282828"/>
        <rFont val="Helvetica"/>
      </rPr>
      <t>1,2</t>
    </r>
  </si>
  <si>
    <r>
      <t>Juan Moreno-Cruz</t>
    </r>
    <r>
      <rPr>
        <vertAlign val="superscript"/>
        <sz val="16"/>
        <color rgb="FF282828"/>
        <rFont val="Helvetica"/>
      </rPr>
      <t>1,2,3</t>
    </r>
  </si>
  <si>
    <t>Kasra Motlaghzadeh4</t>
  </si>
  <si>
    <t>Vanessa Schweizer1,5</t>
  </si>
  <si>
    <t>Emergency deployment of direct air capture as a response to the climate crisis</t>
  </si>
  <si>
    <t>Ryan Hanna, </t>
  </si>
  <si>
    <t>Ahmed Abdulla, </t>
  </si>
  <si>
    <t>Yangyang Xu &amp; </t>
  </si>
  <si>
    <t>David G. Victor </t>
  </si>
  <si>
    <t>Integrating climate and physical constraints into assessments of net capture from direct air capture facilities</t>
  </si>
  <si>
    <r>
      <t>Patrick Shorey</t>
    </r>
    <r>
      <rPr>
        <sz val="12"/>
        <color rgb="FF262626"/>
        <rFont val="Open Sans"/>
        <family val="2"/>
      </rPr>
      <t> and </t>
    </r>
    <r>
      <rPr>
        <u/>
        <sz val="12"/>
        <color rgb="FF666666"/>
        <rFont val="Open Sans"/>
        <family val="2"/>
      </rPr>
      <t>Ahmed Abdulla</t>
    </r>
    <r>
      <rPr>
        <sz val="12"/>
        <color rgb="FF262626"/>
        <rFont val="Open Sans"/>
        <family val="2"/>
      </rPr>
      <t> </t>
    </r>
    <r>
      <rPr>
        <u/>
        <sz val="12"/>
        <color rgb="FF666666"/>
        <rFont val="Open Sans"/>
        <family val="2"/>
      </rPr>
      <t>https://orcid.org/0000-0003-4980-1717</t>
    </r>
    <r>
      <rPr>
        <sz val="12"/>
        <color rgb="FF262626"/>
        <rFont val="Open Sans"/>
        <family val="2"/>
      </rPr>
      <t> </t>
    </r>
    <r>
      <rPr>
        <u/>
        <sz val="12"/>
        <color rgb="FF666666"/>
        <rFont val="Open Sans"/>
        <family val="2"/>
      </rPr>
      <t>ahmed.abdulla3@carleton.ca</t>
    </r>
    <r>
      <rPr>
        <u/>
        <sz val="12"/>
        <color rgb="FF144C77"/>
        <rFont val="Open Sans"/>
        <family val="2"/>
      </rPr>
      <t>Authors Info &amp; Affiliations</t>
    </r>
  </si>
  <si>
    <r>
      <t>Some sectors, such as </t>
    </r>
    <r>
      <rPr>
        <b/>
        <sz val="12"/>
        <color rgb="FF000000"/>
        <rFont val="Aptos Narrow"/>
        <family val="2"/>
        <scheme val="minor"/>
      </rPr>
      <t>electricity generation</t>
    </r>
    <r>
      <rPr>
        <sz val="14"/>
        <color rgb="FF000000"/>
        <rFont val="-webkit-standard"/>
      </rPr>
      <t>, might achieve deep decarbonization faster than </t>
    </r>
    <r>
      <rPr>
        <b/>
        <sz val="12"/>
        <color rgb="FF000000"/>
        <rFont val="Aptos Narrow"/>
        <family val="2"/>
        <scheme val="minor"/>
      </rPr>
      <t>transportation, industry, and agriculture</t>
    </r>
    <r>
      <rPr>
        <sz val="14"/>
        <color rgb="FF000000"/>
        <rFont val="-webkit-standard"/>
      </rPr>
      <t>, which could require more CDR to offset "residual emissions."</t>
    </r>
  </si>
  <si>
    <t>The study suggests that some sectors or nations might attempt to use CDR as a way to delay direct emissions reductions.</t>
  </si>
  <si>
    <t>Targeting carbon dioxide removal in the European Union</t>
  </si>
  <si>
    <t xml:space="preserve">Oliver Geden, Glen P. Peters, and Vivian Scott </t>
  </si>
  <si>
    <t>But it is unlikely that current CEE governments would see CDR as a possibility to strengthen their overall ambition levels. Instead, they might ﬁnd CDR – or the promise thereof – attractive as a means to partly substitute conventional mitigation measures</t>
  </si>
  <si>
    <t>Similar tensions should also be expected between diﬀerent economic sectors, such as between electricity</t>
  </si>
  <si>
    <t>generation and transportation. It is not at all clear that taking CDR seriously would result in a distributional</t>
  </si>
  <si>
    <t>logic where every country, sector and company would still reach conventional emissions reductions of</t>
  </si>
  <si>
    <t>(almost) 100%, while some go beyond to eﬀectively deliver the net negative emissions necessary for the EU</t>
  </si>
  <si>
    <t>to reach levels of, say, 130% reductions. The mitigation disparity between actors could be much larger, depend-</t>
  </si>
  <si>
    <t>ing on national and sectoral circumstances, cost–beneﬁt assessments and the outcome of political negotiations.</t>
  </si>
  <si>
    <t>Indeed, political discussion of comprehensive CDR might well garner support from ulterior motives seeking to</t>
  </si>
  <si>
    <t>exploit CDR conceptually, to gain room for manoeuvre in near-term mitigation obligations.</t>
  </si>
  <si>
    <t>Recent cost-optimising energy system modelling studies suggest that the EU could already reach CDR</t>
  </si>
  <si>
    <t>levels approaching 1 Gt CO 2 per year by 2050, to be delivered through power sector deployment of BECCS</t>
  </si>
  <si>
    <t>(Bollen &amp; Aalbers, 2017; Solano Rodriguez, Drummond, &amp; Ekins, 2017). Allowing for the cost-eﬀective appli-</t>
  </si>
  <si>
    <t>cation of BECCS in an EU emissions scenario that delivers an overall 80% reduction by 2050 would lead to</t>
  </si>
  <si>
    <t>huge mitigation disparities among sectors. While power sector emissions would already decrease by 152%,</t>
  </si>
  <si>
    <t>the transport, buildings and industry sectors would have to deliver reductions of only 10%, 36% and 65%</t>
  </si>
  <si>
    <t>(Solano Rodriguez et al., 2017). While this could be interpreted as an economically eﬃcient approach by</t>
  </si>
  <si>
    <t>some, it is more likely that many in the climate policy community, ﬁrst and foremost NGOs, would be success-</t>
  </si>
  <si>
    <t>ful in framing this disparity as a prime example of a ‘moral hazard’ in EU climate policy: betting on future nega-</t>
  </si>
  <si>
    <t>tive emissions (Anderson &amp; Peters, 2016; Fuss et al., 2014; Kartha &amp; Dooley, 2016) – if not ‘geoengineering’ (ETC</t>
  </si>
  <si>
    <t>Group, Biofuelwatch, &amp; Heinrich Böll Foundation, 2017) – in one sector, while letting all the others more or less</t>
  </si>
  <si>
    <t>‘oﬀ the hook</t>
  </si>
  <si>
    <t>The quantitative data provide four important insights. First, the vast majority of articles focus on the energy</t>
  </si>
  <si>
    <t>sector, as indicated in Figure 2A. Areas of study align with IPCC sectors. While this is logical given the need to</t>
  </si>
  <si>
    <t>decarbonize the energy supply, other sectors will also require transformation. This is particularly true for hard-</t>
  </si>
  <si>
    <t>to-abate sectors such as industrial processes and product use sector. Second, Figure 2B shows that most articles</t>
  </si>
  <si>
    <t>focus on establishing emissions pathways (particularly in the ﬁrst period) and policy creation. Third, there is</t>
  </si>
  <si>
    <t>little research on implementation of policies – even in the post-Paris period, when assessment of NZ</t>
  </si>
  <si>
    <t xml:space="preserve">pledges would be appropriate. </t>
  </si>
  <si>
    <t>Substantively, the majority of scholarship is focused on energy – including
buildings, transportation and power generation. There is a need for more
research on other, often hard-to-abate sectors such as industrial processes,
manufacturing and construction, agriculture and waste.</t>
  </si>
  <si>
    <t>Finally, as the gap between Paris pledges and policy widen (UNEP, 2022), CO2 removal and sequestration</t>
  </si>
  <si>
    <t>also begin to appear in the literature, highlighting concerns that achieving NZ by mid-century will require sub-</t>
  </si>
  <si>
    <t>stantial expansion of net-negative technologies (Geden et al., 2019; Peters et al., 2017; Sanderson et al., 2016)</t>
  </si>
  <si>
    <t>In particular, there is considerable variation across sectors about the policies needed to achieve NZ, and the</t>
  </si>
  <si>
    <t>eﬀectiveness of those in place. There is ample understanding of how to decarbonize the electricity, buildings,</t>
  </si>
  <si>
    <t>and large swaths of the transport sector. Scholarship on NZ in other sectors, such as heavy industry, lags behind.</t>
  </si>
  <si>
    <t>Moreover, much more research is needed on implementation: what do we know collectively about which pol-</t>
  </si>
  <si>
    <t>icies are eﬀective, and under what conditions?</t>
  </si>
  <si>
    <t>irst, the vast majority of articles focus on the energy</t>
  </si>
  <si>
    <t>sector</t>
  </si>
  <si>
    <t>The history of net zero: can we move from concepts to practice?</t>
  </si>
  <si>
    <t>Jessica F. Green and Raúl Salas Reyes</t>
  </si>
  <si>
    <t>The State of Carbon Dioxide Removal</t>
  </si>
  <si>
    <t xml:space="preserve">A global, independent scientific assessment of Carbon Dioxide Removal </t>
  </si>
  <si>
    <t>2nd edition 2024</t>
  </si>
  <si>
    <t>Models suggest average of f-1860 Mt CO2/year from afforestation/rf for the period 2013 to 2022, with China, USA, Brazil, and Russia leading the pack in that order</t>
  </si>
  <si>
    <r>
      <t>CDR from novel methods grew from −0.66 MtCO</t>
    </r>
    <r>
      <rPr>
        <sz val="6"/>
        <color rgb="FF333333"/>
        <rFont val="Lato"/>
        <family val="2"/>
      </rPr>
      <t xml:space="preserve">2 </t>
    </r>
    <r>
      <rPr>
        <sz val="11"/>
        <color rgb="FF333333"/>
        <rFont val="Lato"/>
        <family val="2"/>
      </rPr>
      <t>per year in 2021 to −1.35 MtCO</t>
    </r>
    <r>
      <rPr>
        <sz val="6"/>
        <color rgb="FF333333"/>
        <rFont val="Lato"/>
        <family val="2"/>
      </rPr>
      <t xml:space="preserve">2 </t>
    </r>
    <r>
      <rPr>
        <sz val="11"/>
        <color rgb="FF333333"/>
        <rFont val="Lato"/>
        <family val="2"/>
      </rPr>
      <t>per year in 2023. The largest current contributions to novel CDR are from biochar (with an estimated −0.79 MtCO2 per year), bioenergy with carbon capture and storage (−0.51 MtCO2 per year), and enhanced rock weathering (−0.03 MtCO2 per year).</t>
    </r>
  </si>
  <si>
    <t xml:space="preserve">Based on available data, the country with the largest contribution to novel CDR is the US, as it hosts all bioenergy with carbon capture and storage projects that are currently operating. Methods such as biochar and enhanced rock weathering show a broader geographical spread. </t>
  </si>
  <si>
    <t xml:space="preserve">Depending on future CDR is inherently risky for many reasons, and scenario evidence shows that limiting residual emissions is a more robust and sustainable strategy, and thus should be a key objective at all levels of climate policymaking. </t>
  </si>
  <si>
    <r>
      <t>The median total levels of CDR in 2050 are similar in all scenarios that limit temperature rise below 2°C as well as in Paris-consistent scenarios with sustainability limits (7.5–7.8 Gt of carbon dioxide (CO</t>
    </r>
    <r>
      <rPr>
        <sz val="6"/>
        <color rgb="FF333333"/>
        <rFont val="Lato"/>
        <family val="2"/>
      </rPr>
      <t>2</t>
    </r>
    <r>
      <rPr>
        <sz val="11"/>
        <color rgb="FF333333"/>
        <rFont val="Lato"/>
        <family val="2"/>
      </rPr>
      <t>) per year). The range of CDR in 1.5–2°C scenarios in 2050 is 6–10 GtCO</t>
    </r>
    <r>
      <rPr>
        <sz val="6"/>
        <color rgb="FF333333"/>
        <rFont val="Lato"/>
        <family val="2"/>
      </rPr>
      <t xml:space="preserve">2 </t>
    </r>
    <r>
      <rPr>
        <sz val="11"/>
        <color rgb="FF333333"/>
        <rFont val="Lato"/>
        <family val="2"/>
      </rPr>
      <t>per year, and the range in Paris-consistent scenarios is 7–9 GtCO</t>
    </r>
    <r>
      <rPr>
        <sz val="6"/>
        <color rgb="FF333333"/>
        <rFont val="Lato"/>
        <family val="2"/>
      </rPr>
      <t xml:space="preserve">2 </t>
    </r>
    <r>
      <rPr>
        <sz val="11"/>
        <color rgb="FF333333"/>
        <rFont val="Lato"/>
        <family val="2"/>
      </rPr>
      <t xml:space="preserve">per year. </t>
    </r>
  </si>
  <si>
    <r>
      <t>Scenarios that limit global temperature rise to 1.5°C and the Paris- consistent scenarios deploy less CDR cumulatively by the time of net zero CO</t>
    </r>
    <r>
      <rPr>
        <sz val="6"/>
        <color rgb="FF333333"/>
        <rFont val="Lato"/>
        <family val="2"/>
      </rPr>
      <t xml:space="preserve">2 </t>
    </r>
    <r>
      <rPr>
        <sz val="11"/>
        <color rgb="FF333333"/>
        <rFont val="Lato"/>
        <family val="2"/>
      </rPr>
      <t>emissions (190 GtCO</t>
    </r>
    <r>
      <rPr>
        <sz val="6"/>
        <color rgb="FF333333"/>
        <rFont val="Lato"/>
        <family val="2"/>
      </rPr>
      <t xml:space="preserve">2 </t>
    </r>
    <r>
      <rPr>
        <sz val="11"/>
        <color rgb="FF333333"/>
        <rFont val="Lato"/>
        <family val="2"/>
      </rPr>
      <t>and 170 GtCO</t>
    </r>
    <r>
      <rPr>
        <sz val="6"/>
        <color rgb="FF333333"/>
        <rFont val="Lato"/>
        <family val="2"/>
      </rPr>
      <t>2</t>
    </r>
    <r>
      <rPr>
        <sz val="11"/>
        <color rgb="FF333333"/>
        <rFont val="Lato"/>
        <family val="2"/>
      </rPr>
      <t>, respectively) compared to the 2°C scenarios (330 GtCO</t>
    </r>
    <r>
      <rPr>
        <sz val="6"/>
        <color rgb="FF333333"/>
        <rFont val="Lato"/>
        <family val="2"/>
      </rPr>
      <t>2</t>
    </r>
    <r>
      <rPr>
        <sz val="11"/>
        <color rgb="FF333333"/>
        <rFont val="Lato"/>
        <family val="2"/>
      </rPr>
      <t xml:space="preserve">). The Paris-consistent scenarios tend to deploy more conventional CDR, whereas other scenarios deploy comparatively more novel CDR. </t>
    </r>
  </si>
  <si>
    <t>Most scenarios continue to optimize solely for climate change mitigation and cost, too often producing unsustainable futures including very high levels of CDR that may jeopardize the attainment of other global goals.</t>
  </si>
  <si>
    <t xml:space="preserve">It is vital that CDR policy and strategy explicitly integrate sustainable development considerations to address risks and maximize co-benefits. </t>
  </si>
  <si>
    <t xml:space="preserve">Total number of 1.5–2°C scenarios (number assessed) </t>
  </si>
  <si>
    <r>
      <t>Number of scenarios with conventional CDR</t>
    </r>
    <r>
      <rPr>
        <sz val="7"/>
        <color rgb="FF333333"/>
        <rFont val="Lato"/>
        <family val="2"/>
      </rPr>
      <t xml:space="preserve">a </t>
    </r>
    <r>
      <rPr>
        <sz val="12"/>
        <color rgb="FF333333"/>
        <rFont val="Lato"/>
        <family val="2"/>
      </rPr>
      <t xml:space="preserve">(number for which CDR estimated) </t>
    </r>
  </si>
  <si>
    <t xml:space="preserve">Number of scenarios with novel CDR </t>
  </si>
  <si>
    <t xml:space="preserve">BECCS </t>
  </si>
  <si>
    <t xml:space="preserve">DACCS </t>
  </si>
  <si>
    <t xml:space="preserve">ERW </t>
  </si>
  <si>
    <t xml:space="preserve">Biochar </t>
  </si>
  <si>
    <t xml:space="preserve">Scenarios in the AR6 database </t>
  </si>
  <si>
    <t xml:space="preserve">540 (407) </t>
  </si>
  <si>
    <t xml:space="preserve">530 (407) </t>
  </si>
  <si>
    <t xml:space="preserve">New scenarios since AR6 </t>
  </si>
  <si>
    <t xml:space="preserve">90 (48) </t>
  </si>
  <si>
    <r>
      <t xml:space="preserve">There is therefore a </t>
    </r>
    <r>
      <rPr>
        <i/>
        <sz val="11"/>
        <color rgb="FF333333"/>
        <rFont val="Lato"/>
        <family val="2"/>
      </rPr>
      <t xml:space="preserve">CDR gap </t>
    </r>
    <r>
      <rPr>
        <sz val="11"/>
        <color rgb="FF333333"/>
        <rFont val="Lato"/>
        <family val="2"/>
      </rPr>
      <t xml:space="preserve">between national proposals and most scenarios consistent with the Paris temperature goal. </t>
    </r>
  </si>
  <si>
    <r>
      <t>Scenarios that limit global temperature rise to 1.5°C by dramatically reducing emissions while sustainably scaling CDR imply that an additional −1.0 to −2.9 GtCO</t>
    </r>
    <r>
      <rPr>
        <sz val="6"/>
        <color rgb="FF333333"/>
        <rFont val="Lato"/>
        <family val="2"/>
      </rPr>
      <t xml:space="preserve">2 </t>
    </r>
    <r>
      <rPr>
        <sz val="11"/>
        <color rgb="FF333333"/>
        <rFont val="Lato"/>
        <family val="2"/>
      </rPr>
      <t>per year of CDR is needed by 2030, and an additional −2.3 to −7.4 GtCO</t>
    </r>
    <r>
      <rPr>
        <sz val="6"/>
        <color rgb="FF333333"/>
        <rFont val="Lato"/>
        <family val="2"/>
      </rPr>
      <t xml:space="preserve">2 </t>
    </r>
    <r>
      <rPr>
        <sz val="11"/>
        <color rgb="FF333333"/>
        <rFont val="Lato"/>
        <family val="2"/>
      </rPr>
      <t xml:space="preserve">per year by 2050, compared with levels in 2020. </t>
    </r>
  </si>
  <si>
    <t>Residual GHG emissions largely consist of CO2 emissions from energy-intensive industries (consisting mainly of the steel, cement and chemical industries), international transport (mainly air and shipping) and non-CO2 emissions from agriculture (mainly from livestock, crop fertilization and paddy rice cultivation)7</t>
  </si>
  <si>
    <r>
      <t>Lee, H. &amp; Romero, J. eds. </t>
    </r>
    <r>
      <rPr>
        <i/>
        <sz val="18"/>
        <color rgb="FF222222"/>
        <rFont val="Segoe UI"/>
        <family val="2"/>
      </rPr>
      <t>Climate Change 2023: Synthesis Report. Contribution of Working Groups I, II and III to the Sixth Assessment Report of the Intergovernmental Panel on Climate Change.</t>
    </r>
    <r>
      <rPr>
        <sz val="18"/>
        <color rgb="FF222222"/>
        <rFont val="Segoe UI"/>
        <family val="2"/>
      </rPr>
      <t> (IPCC, 2023).</t>
    </r>
  </si>
  <si>
    <t>Rather than aiming for complete decarbonization in each sector individually, scenario studies show that achieving net-zero emissions is more easily achieved by maintaining a level of residual emissions in some sectors, balanced by sinks in other sectors</t>
  </si>
  <si>
    <t>Technical limitations in bringing emissions to zero, combined with more complex value chains, spatial and conditional specificities, long capital or in-use lifetimes and lack of societal support, makes transformations in these sectors more challenging than in a homogeneous sector such as the power sector</t>
  </si>
  <si>
    <r>
      <t>Sharmina, M. et al. Decarbonising the critical sectors of aviation, shipping, road freight and industry to limit warming to 1.5–2 °C. </t>
    </r>
    <r>
      <rPr>
        <i/>
        <sz val="16"/>
        <color rgb="FF222222"/>
        <rFont val="Segoe UI"/>
        <family val="2"/>
      </rPr>
      <t>Clim. Policy</t>
    </r>
    <r>
      <rPr>
        <b/>
        <sz val="16"/>
        <color rgb="FF222222"/>
        <rFont val="Segoe UI"/>
        <family val="2"/>
      </rPr>
      <t>21</t>
    </r>
    <r>
      <rPr>
        <sz val="16"/>
        <color rgb="FF222222"/>
        <rFont val="Segoe UI"/>
        <family val="2"/>
      </rPr>
      <t>, 455–474 (2021).</t>
    </r>
  </si>
  <si>
    <r>
      <t>In the buildings sector, achieving net-zero emissions can be difficult as well, due to the granularity of the sector with many actors involved, site-specific conditions and the slow capital turnover</t>
    </r>
    <r>
      <rPr>
        <u/>
        <sz val="14"/>
        <color rgb="FF006699"/>
        <rFont val="Palatino"/>
        <charset val="1"/>
      </rPr>
      <t>11</t>
    </r>
    <r>
      <rPr>
        <sz val="14"/>
        <color rgb="FF222222"/>
        <rFont val="Palatino"/>
        <charset val="1"/>
      </rPr>
      <t>,</t>
    </r>
    <r>
      <rPr>
        <u/>
        <sz val="14"/>
        <color rgb="FF006699"/>
        <rFont val="Palatino"/>
        <charset val="1"/>
      </rPr>
      <t>12</t>
    </r>
    <r>
      <rPr>
        <sz val="14"/>
        <color rgb="FF222222"/>
        <rFont val="Palatino"/>
        <charset val="1"/>
      </rPr>
      <t>,</t>
    </r>
    <r>
      <rPr>
        <u/>
        <sz val="14"/>
        <color rgb="FF006699"/>
        <rFont val="Palatino"/>
        <charset val="1"/>
      </rPr>
      <t>13</t>
    </r>
    <r>
      <rPr>
        <sz val="18"/>
        <color rgb="FF222222"/>
        <rFont val="Palatino"/>
        <charset val="1"/>
      </rPr>
      <t>. We therefore refer to these sectors as hard-to-abate (HtA) sectors.</t>
    </r>
  </si>
  <si>
    <r>
      <t>Cabeza L. F. et al. </t>
    </r>
    <r>
      <rPr>
        <i/>
        <sz val="18"/>
        <color rgb="FF222222"/>
        <rFont val="Segoe UI"/>
        <family val="2"/>
      </rPr>
      <t>IPCC</t>
    </r>
    <r>
      <rPr>
        <sz val="18"/>
        <color rgb="FF222222"/>
        <rFont val="Segoe UI"/>
        <family val="2"/>
      </rPr>
      <t> </t>
    </r>
    <r>
      <rPr>
        <i/>
        <sz val="18"/>
        <color rgb="FF222222"/>
        <rFont val="Segoe UI"/>
        <family val="2"/>
      </rPr>
      <t>Climate Change 2022: Mitigation of Climate Change. Contribution of Working Group III to the Sixth Assessment Report of the Intergovernmental Panel on Climate Change</t>
    </r>
    <r>
      <rPr>
        <sz val="18"/>
        <color rgb="FF222222"/>
        <rFont val="Segoe UI"/>
        <family val="2"/>
      </rPr>
      <t>(eds Shukla, P. R. et al.) (Cambridge Univ. Press, 2022).</t>
    </r>
  </si>
  <si>
    <r>
      <t>Langevin, J., Harris, C. B. &amp; Reyna, J. L. Assessing the potential to reduce US building CO</t>
    </r>
    <r>
      <rPr>
        <sz val="12"/>
        <color rgb="FF222222"/>
        <rFont val="Segoe UI"/>
        <family val="2"/>
      </rPr>
      <t>2</t>
    </r>
    <r>
      <rPr>
        <sz val="16"/>
        <color rgb="FF222222"/>
        <rFont val="Segoe UI"/>
        <family val="2"/>
      </rPr>
      <t>emissions 80% by 2050. </t>
    </r>
    <r>
      <rPr>
        <i/>
        <sz val="16"/>
        <color rgb="FF222222"/>
        <rFont val="Segoe UI"/>
        <family val="2"/>
      </rPr>
      <t>Joule</t>
    </r>
    <r>
      <rPr>
        <sz val="16"/>
        <color rgb="FF222222"/>
        <rFont val="Segoe UI"/>
        <family val="2"/>
      </rPr>
      <t> </t>
    </r>
    <r>
      <rPr>
        <b/>
        <sz val="16"/>
        <color rgb="FF222222"/>
        <rFont val="Segoe UI"/>
        <family val="2"/>
      </rPr>
      <t>3</t>
    </r>
    <r>
      <rPr>
        <sz val="16"/>
        <color rgb="FF222222"/>
        <rFont val="Segoe UI"/>
        <family val="2"/>
      </rPr>
      <t>, 2403–2424 (2019).</t>
    </r>
  </si>
  <si>
    <t>Ok, my goal today is to create a 600-700 word lit review section for this paper. I have 33 papers that I will upload to you in 4 batches: 10, 10, 10, 3. These 33 papers should be cited and data and results extracted/synthesized from them to create the lit review. Each paper needs to be cited in-text at least once in the lit review section. However, this does not mean that you need to make a minimum of 33 claims: you can make one claim and then cite multiple papers supporting it. However, do not overdo this. The paper PDF files are titled using numbers (e.g., 1.pdf, 2.pdf, etc.), so when creating in-text citations, simply use the numbered title as the citation. e.g. 12.pdf is used to create claim y, then after the sentence where y is made, just add [12]. </t>
  </si>
  <si>
    <t>DAC</t>
  </si>
  <si>
    <t>Fugitive Sources</t>
  </si>
  <si>
    <t>Energy Production</t>
  </si>
  <si>
    <t>Electricity</t>
  </si>
  <si>
    <t>Transport</t>
  </si>
  <si>
    <t>Industry - Combustion</t>
  </si>
  <si>
    <t>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</si>
</sst>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40">
    <font>
      <sz val="12"/>
      <color theme="1"/>
      <name val="Aptos Narrow"/>
      <family val="2"/>
      <scheme val="minor"/>
    </font>
    <font>
      <u/>
      <sz val="12"/>
      <color theme="10"/>
      <name val="Aptos Narrow"/>
      <family val="2"/>
      <scheme val="minor"/>
    </font>
    <font>
      <sz val="32"/>
      <color rgb="FF1F1F1F"/>
      <name val="Georgia"/>
      <family val="1"/>
    </font>
    <font>
      <sz val="16"/>
      <color rgb="FF1F1F1F"/>
      <name val="Arial"/>
      <family val="2"/>
    </font>
    <font>
      <sz val="12"/>
      <color rgb="FF1F1F1F"/>
      <name val="Arial"/>
      <family val="2"/>
    </font>
    <font>
      <b/>
      <sz val="24"/>
      <color rgb="FF222222"/>
      <name val="Segoe UI"/>
      <family val="2"/>
    </font>
    <font>
      <sz val="12"/>
      <color rgb="FF222222"/>
      <name val="Segoe UI"/>
      <family val="2"/>
    </font>
    <font>
      <sz val="24"/>
      <color rgb="FF1F1F1F"/>
      <name val="Georgia"/>
      <family val="1"/>
    </font>
    <font>
      <sz val="24"/>
      <color rgb="FF282828"/>
      <name val="Helvetica"/>
    </font>
    <font>
      <sz val="16"/>
      <color rgb="FF282828"/>
      <name val="Helvetica"/>
    </font>
    <font>
      <vertAlign val="superscript"/>
      <sz val="16"/>
      <color rgb="FF282828"/>
      <name val="Helvetica"/>
    </font>
    <font>
      <b/>
      <sz val="24"/>
      <color rgb="FF222222"/>
      <name val="Palatino"/>
      <charset val="1"/>
    </font>
    <font>
      <sz val="24"/>
      <color rgb="FF0B0B0B"/>
      <name val="Montserrat"/>
      <charset val="1"/>
    </font>
    <font>
      <sz val="12"/>
      <color rgb="FF262626"/>
      <name val="Open Sans"/>
      <family val="2"/>
    </font>
    <font>
      <u/>
      <sz val="12"/>
      <color rgb="FF666666"/>
      <name val="Open Sans"/>
      <family val="2"/>
    </font>
    <font>
      <u/>
      <sz val="12"/>
      <color rgb="FF144C77"/>
      <name val="Open Sans"/>
      <family val="2"/>
    </font>
    <font>
      <sz val="14"/>
      <color rgb="FF000000"/>
      <name val="-webkit-standard"/>
    </font>
    <font>
      <b/>
      <sz val="12"/>
      <color rgb="FF000000"/>
      <name val="Aptos Narrow"/>
      <family val="2"/>
      <scheme val="minor"/>
    </font>
    <font>
      <sz val="21"/>
      <color theme="1"/>
      <name val="Arial"/>
      <family val="2"/>
    </font>
    <font>
      <sz val="12"/>
      <color theme="1"/>
      <name val="Arial"/>
      <family val="2"/>
    </font>
    <font>
      <sz val="16"/>
      <color theme="1"/>
      <name val="Arial"/>
      <family val="2"/>
    </font>
    <font>
      <sz val="14"/>
      <color theme="1"/>
      <name val="Aptos Narrow"/>
      <family val="2"/>
      <scheme val="minor"/>
    </font>
    <font>
      <sz val="47"/>
      <color theme="1"/>
      <name val="Arial"/>
      <family val="2"/>
    </font>
    <font>
      <sz val="20"/>
      <color theme="1"/>
      <name val="Lato"/>
      <family val="2"/>
    </font>
    <font>
      <sz val="11"/>
      <color rgb="FF333333"/>
      <name val="Lato"/>
      <family val="2"/>
    </font>
    <font>
      <sz val="6"/>
      <color rgb="FF333333"/>
      <name val="Lato"/>
      <family val="2"/>
    </font>
    <font>
      <sz val="12"/>
      <color rgb="FF333333"/>
      <name val="Lato"/>
      <family val="2"/>
    </font>
    <font>
      <sz val="7"/>
      <color rgb="FF333333"/>
      <name val="Lato"/>
      <family val="2"/>
    </font>
    <font>
      <b/>
      <sz val="10"/>
      <color rgb="FF333333"/>
      <name val="Lato"/>
      <family val="2"/>
    </font>
    <font>
      <i/>
      <sz val="10"/>
      <color rgb="FF333333"/>
      <name val="Lato"/>
      <family val="2"/>
    </font>
    <font>
      <i/>
      <sz val="11"/>
      <color rgb="FF333333"/>
      <name val="Lato"/>
      <family val="2"/>
    </font>
    <font>
      <sz val="18"/>
      <color rgb="FF222222"/>
      <name val="Palatino"/>
      <charset val="1"/>
    </font>
    <font>
      <sz val="14"/>
      <color rgb="FF222222"/>
      <name val="Palatino"/>
      <charset val="1"/>
    </font>
    <font>
      <u/>
      <sz val="14"/>
      <color rgb="FF006699"/>
      <name val="Palatino"/>
      <charset val="1"/>
    </font>
    <font>
      <sz val="18"/>
      <color rgb="FF222222"/>
      <name val="Segoe UI"/>
      <family val="2"/>
    </font>
    <font>
      <i/>
      <sz val="18"/>
      <color rgb="FF222222"/>
      <name val="Segoe UI"/>
      <family val="2"/>
    </font>
    <font>
      <sz val="16"/>
      <color rgb="FF222222"/>
      <name val="Segoe UI"/>
      <family val="2"/>
    </font>
    <font>
      <i/>
      <sz val="16"/>
      <color rgb="FF222222"/>
      <name val="Segoe UI"/>
      <family val="2"/>
    </font>
    <font>
      <b/>
      <sz val="16"/>
      <color rgb="FF222222"/>
      <name val="Segoe UI"/>
      <family val="2"/>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0" fillId="0" borderId="0" xfId="0" applyAlignment="1">
      <alignment horizontal="center"/>
    </xf>
    <xf numFmtId="0" fontId="0" fillId="0" borderId="0" xfId="0" applyAlignment="1">
      <alignment horizontal="center" vertical="center"/>
    </xf>
    <xf numFmtId="168" fontId="0" fillId="0" borderId="0" xfId="0" applyNumberFormat="1"/>
    <xf numFmtId="0" fontId="2" fillId="0" borderId="0" xfId="0" applyFont="1"/>
    <xf numFmtId="0" fontId="3" fillId="0" borderId="0" xfId="0" applyFont="1"/>
    <xf numFmtId="0" fontId="5" fillId="0" borderId="0" xfId="0" applyFont="1"/>
    <xf numFmtId="0" fontId="1" fillId="0" borderId="0" xfId="1"/>
    <xf numFmtId="0" fontId="8" fillId="0" borderId="0" xfId="0" applyFont="1"/>
    <xf numFmtId="0" fontId="9" fillId="0" borderId="0" xfId="0" applyFont="1"/>
    <xf numFmtId="0" fontId="11" fillId="0" borderId="0" xfId="0" applyFont="1"/>
    <xf numFmtId="0" fontId="12" fillId="0" borderId="0" xfId="0" applyFont="1"/>
    <xf numFmtId="0" fontId="14" fillId="0" borderId="0" xfId="0" applyFont="1"/>
    <xf numFmtId="0" fontId="16" fillId="0" borderId="0" xfId="0" applyFont="1"/>
    <xf numFmtId="0" fontId="19" fillId="0" borderId="0" xfId="0" applyFont="1"/>
    <xf numFmtId="0" fontId="20" fillId="0" borderId="0" xfId="0" applyFont="1"/>
    <xf numFmtId="0" fontId="19" fillId="2" borderId="0" xfId="0" applyFont="1" applyFill="1"/>
    <xf numFmtId="0" fontId="20" fillId="2" borderId="0" xfId="0" applyFont="1" applyFill="1"/>
    <xf numFmtId="0" fontId="21" fillId="0" borderId="0" xfId="0" applyFont="1" applyAlignment="1">
      <alignment horizontal="left" vertical="top" wrapText="1"/>
    </xf>
    <xf numFmtId="0" fontId="24" fillId="0" borderId="0" xfId="0" applyFont="1"/>
    <xf numFmtId="0" fontId="24" fillId="0" borderId="0" xfId="0" applyFont="1" applyAlignment="1"/>
    <xf numFmtId="0" fontId="0" fillId="0" borderId="0" xfId="0"/>
    <xf numFmtId="0" fontId="26" fillId="0" borderId="0" xfId="0" applyFont="1"/>
    <xf numFmtId="0" fontId="28" fillId="0" borderId="0" xfId="0" applyFont="1"/>
    <xf numFmtId="0" fontId="29" fillId="0" borderId="0" xfId="0" applyFont="1"/>
    <xf numFmtId="0" fontId="31" fillId="0" borderId="0" xfId="0" applyFont="1"/>
    <xf numFmtId="0" fontId="0" fillId="3" borderId="0" xfId="0" applyFill="1"/>
    <xf numFmtId="0" fontId="23" fillId="3" borderId="0" xfId="0" applyFont="1" applyFill="1"/>
    <xf numFmtId="0" fontId="34" fillId="3" borderId="0" xfId="0" applyFont="1" applyFill="1"/>
    <xf numFmtId="0" fontId="36" fillId="3" borderId="0" xfId="0" applyFont="1" applyFill="1"/>
    <xf numFmtId="0" fontId="22" fillId="3" borderId="0" xfId="0" applyFont="1" applyFill="1"/>
    <xf numFmtId="0" fontId="19" fillId="3" borderId="0" xfId="0" applyFont="1" applyFill="1"/>
    <xf numFmtId="0" fontId="18" fillId="3" borderId="0" xfId="0" applyFont="1" applyFill="1"/>
    <xf numFmtId="0" fontId="39"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14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3"/>
          <c:order val="0"/>
          <c:tx>
            <c:strRef>
              <c:f>'Sankey Diagram'!$M$14</c:f>
              <c:strCache>
                <c:ptCount val="1"/>
              </c:strCache>
            </c:strRef>
          </c:tx>
          <c:spPr>
            <a:no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9-EA3A-2D48-9A0D-29F409540F21}"/>
              </c:ext>
            </c:extLst>
          </c:dPt>
          <c:dPt>
            <c:idx val="1"/>
            <c:bubble3D val="0"/>
            <c:spPr>
              <a:noFill/>
              <a:ln w="19050">
                <a:solidFill>
                  <a:schemeClr val="lt1"/>
                </a:solidFill>
              </a:ln>
              <a:effectLst/>
            </c:spPr>
          </c:dPt>
          <c:val>
            <c:numRef>
              <c:f>'Sankey Diagram'!$N$14:$O$14</c:f>
              <c:numCache>
                <c:formatCode>0.0%</c:formatCode>
                <c:ptCount val="2"/>
              </c:numCache>
            </c:numRef>
          </c:val>
          <c:extLst>
            <c:ext xmlns:c16="http://schemas.microsoft.com/office/drawing/2014/chart" uri="{C3380CC4-5D6E-409C-BE32-E72D297353CC}">
              <c16:uniqueId val="{00000005-EA3A-2D48-9A0D-29F409540F21}"/>
            </c:ext>
          </c:extLst>
        </c:ser>
        <c:ser>
          <c:idx val="4"/>
          <c:order val="1"/>
          <c:tx>
            <c:strRef>
              <c:f>'Sankey Diagram'!$M$15</c:f>
              <c:strCache>
                <c:ptCount val="1"/>
                <c:pt idx="0">
                  <c:v>Industry</c:v>
                </c:pt>
              </c:strCache>
            </c:strRef>
          </c:tx>
          <c:spPr>
            <a:noFill/>
          </c:spPr>
          <c:dPt>
            <c:idx val="0"/>
            <c:bubble3D val="0"/>
            <c:spPr>
              <a:solidFill>
                <a:schemeClr val="accent5"/>
              </a:solidFill>
              <a:ln w="19050">
                <a:solidFill>
                  <a:schemeClr val="lt1"/>
                </a:solidFill>
              </a:ln>
              <a:effectLst/>
            </c:spPr>
            <c:extLst>
              <c:ext xmlns:c16="http://schemas.microsoft.com/office/drawing/2014/chart" uri="{C3380CC4-5D6E-409C-BE32-E72D297353CC}">
                <c16:uniqueId val="{00000008-EA3A-2D48-9A0D-29F409540F21}"/>
              </c:ext>
            </c:extLst>
          </c:dPt>
          <c:dPt>
            <c:idx val="1"/>
            <c:bubble3D val="0"/>
            <c:spPr>
              <a:noFill/>
              <a:ln w="19050">
                <a:solidFill>
                  <a:schemeClr val="lt1"/>
                </a:solidFill>
              </a:ln>
              <a:effectLst/>
            </c:spPr>
          </c:dPt>
          <c:val>
            <c:numRef>
              <c:f>'Sankey Diagram'!$N$15:$O$15</c:f>
              <c:numCache>
                <c:formatCode>0.0%</c:formatCode>
                <c:ptCount val="2"/>
                <c:pt idx="0">
                  <c:v>0.1</c:v>
                </c:pt>
                <c:pt idx="1">
                  <c:v>0.9</c:v>
                </c:pt>
              </c:numCache>
            </c:numRef>
          </c:val>
          <c:extLst>
            <c:ext xmlns:c16="http://schemas.microsoft.com/office/drawing/2014/chart" uri="{C3380CC4-5D6E-409C-BE32-E72D297353CC}">
              <c16:uniqueId val="{00000006-EA3A-2D48-9A0D-29F409540F21}"/>
            </c:ext>
          </c:extLst>
        </c:ser>
        <c:ser>
          <c:idx val="2"/>
          <c:order val="2"/>
          <c:tx>
            <c:strRef>
              <c:f>'Sankey Diagram'!$M$13</c:f>
              <c:strCache>
                <c:ptCount val="1"/>
                <c:pt idx="0">
                  <c:v>Agriculture</c:v>
                </c:pt>
              </c:strCache>
            </c:strRef>
          </c:tx>
          <c:spPr>
            <a:no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7-EA3A-2D48-9A0D-29F409540F21}"/>
              </c:ext>
            </c:extLst>
          </c:dPt>
          <c:dPt>
            <c:idx val="1"/>
            <c:bubble3D val="0"/>
            <c:spPr>
              <a:noFill/>
              <a:ln w="19050">
                <a:solidFill>
                  <a:schemeClr val="lt1"/>
                </a:solidFill>
              </a:ln>
              <a:effectLst/>
            </c:spPr>
          </c:dPt>
          <c:val>
            <c:numRef>
              <c:f>'Sankey Diagram'!$N$13:$O$13</c:f>
              <c:numCache>
                <c:formatCode>0.0%</c:formatCode>
                <c:ptCount val="2"/>
                <c:pt idx="0">
                  <c:v>0.4</c:v>
                </c:pt>
                <c:pt idx="1">
                  <c:v>0.6</c:v>
                </c:pt>
              </c:numCache>
            </c:numRef>
          </c:val>
          <c:extLst>
            <c:ext xmlns:c16="http://schemas.microsoft.com/office/drawing/2014/chart" uri="{C3380CC4-5D6E-409C-BE32-E72D297353CC}">
              <c16:uniqueId val="{00000004-EA3A-2D48-9A0D-29F409540F21}"/>
            </c:ext>
          </c:extLst>
        </c:ser>
        <c:ser>
          <c:idx val="1"/>
          <c:order val="3"/>
          <c:tx>
            <c:strRef>
              <c:f>'Sankey Diagram'!$M$12</c:f>
              <c:strCache>
                <c:ptCount val="1"/>
                <c:pt idx="0">
                  <c:v>Transportation</c:v>
                </c:pt>
              </c:strCache>
            </c:strRef>
          </c:tx>
          <c:spPr>
            <a:no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A-EA3A-2D48-9A0D-29F409540F21}"/>
              </c:ext>
            </c:extLst>
          </c:dPt>
          <c:dPt>
            <c:idx val="1"/>
            <c:bubble3D val="0"/>
            <c:spPr>
              <a:noFill/>
              <a:ln w="19050">
                <a:solidFill>
                  <a:schemeClr val="lt1"/>
                </a:solidFill>
              </a:ln>
              <a:effectLst/>
            </c:spPr>
          </c:dPt>
          <c:val>
            <c:numRef>
              <c:f>'Sankey Diagram'!$N$12:$O$12</c:f>
              <c:numCache>
                <c:formatCode>0.0%</c:formatCode>
                <c:ptCount val="2"/>
                <c:pt idx="0">
                  <c:v>0.6</c:v>
                </c:pt>
                <c:pt idx="1">
                  <c:v>0.4</c:v>
                </c:pt>
              </c:numCache>
            </c:numRef>
          </c:val>
          <c:extLst>
            <c:ext xmlns:c16="http://schemas.microsoft.com/office/drawing/2014/chart" uri="{C3380CC4-5D6E-409C-BE32-E72D297353CC}">
              <c16:uniqueId val="{00000003-EA3A-2D48-9A0D-29F409540F21}"/>
            </c:ext>
          </c:extLst>
        </c:ser>
        <c:ser>
          <c:idx val="0"/>
          <c:order val="4"/>
          <c:tx>
            <c:strRef>
              <c:f>'Sankey Diagram'!$M$11</c:f>
              <c:strCache>
                <c:ptCount val="1"/>
                <c:pt idx="0">
                  <c:v>Buildings</c:v>
                </c:pt>
              </c:strCache>
            </c:strRef>
          </c:tx>
          <c:spPr>
            <a:no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B-EA3A-2D48-9A0D-29F409540F21}"/>
              </c:ext>
            </c:extLst>
          </c:dPt>
          <c:dPt>
            <c:idx val="1"/>
            <c:bubble3D val="0"/>
            <c:spPr>
              <a:noFill/>
              <a:ln w="19050">
                <a:solidFill>
                  <a:schemeClr val="lt1"/>
                </a:solidFill>
              </a:ln>
              <a:effectLst/>
            </c:spPr>
          </c:dPt>
          <c:val>
            <c:numRef>
              <c:f>'Sankey Diagram'!$N$11:$O$11</c:f>
              <c:numCache>
                <c:formatCode>0.0%</c:formatCode>
                <c:ptCount val="2"/>
                <c:pt idx="0">
                  <c:v>0.8</c:v>
                </c:pt>
                <c:pt idx="1">
                  <c:v>0.19999999999999996</c:v>
                </c:pt>
              </c:numCache>
            </c:numRef>
          </c:val>
          <c:extLst>
            <c:ext xmlns:c16="http://schemas.microsoft.com/office/drawing/2014/chart" uri="{C3380CC4-5D6E-409C-BE32-E72D297353CC}">
              <c16:uniqueId val="{00000002-EA3A-2D48-9A0D-29F409540F21}"/>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6350">
              <a:solidFill>
                <a:schemeClr val="tx1"/>
              </a:solidFill>
            </a:ln>
            <a:effectLst/>
          </c:spPr>
          <c:invertIfNegative val="0"/>
          <c:dPt>
            <c:idx val="0"/>
            <c:invertIfNegative val="0"/>
            <c:bubble3D val="0"/>
            <c:spPr>
              <a:solidFill>
                <a:srgbClr val="C00000"/>
              </a:solidFill>
              <a:ln w="6350">
                <a:solidFill>
                  <a:schemeClr val="tx1"/>
                </a:solidFill>
              </a:ln>
              <a:effectLst/>
            </c:spPr>
            <c:extLst>
              <c:ext xmlns:c16="http://schemas.microsoft.com/office/drawing/2014/chart" uri="{C3380CC4-5D6E-409C-BE32-E72D297353CC}">
                <c16:uniqueId val="{00000002-0CA7-BE4C-B1C2-C630C81A6C79}"/>
              </c:ext>
            </c:extLst>
          </c:dPt>
          <c:dPt>
            <c:idx val="1"/>
            <c:invertIfNegative val="0"/>
            <c:bubble3D val="0"/>
            <c:spPr>
              <a:solidFill>
                <a:schemeClr val="accent6">
                  <a:lumMod val="40000"/>
                  <a:lumOff val="60000"/>
                </a:schemeClr>
              </a:solidFill>
              <a:ln w="6350">
                <a:solidFill>
                  <a:schemeClr val="tx1"/>
                </a:solidFill>
              </a:ln>
              <a:effectLst/>
            </c:spPr>
            <c:extLst>
              <c:ext xmlns:c16="http://schemas.microsoft.com/office/drawing/2014/chart" uri="{C3380CC4-5D6E-409C-BE32-E72D297353CC}">
                <c16:uniqueId val="{00000001-0CA7-BE4C-B1C2-C630C81A6C79}"/>
              </c:ext>
            </c:extLst>
          </c:dPt>
          <c:dPt>
            <c:idx val="2"/>
            <c:invertIfNegative val="0"/>
            <c:bubble3D val="0"/>
            <c:spPr>
              <a:solidFill>
                <a:schemeClr val="accent6">
                  <a:lumMod val="60000"/>
                  <a:lumOff val="40000"/>
                </a:schemeClr>
              </a:solidFill>
              <a:ln w="6350">
                <a:solidFill>
                  <a:schemeClr val="tx1"/>
                </a:solidFill>
              </a:ln>
              <a:effectLst/>
            </c:spPr>
            <c:extLst>
              <c:ext xmlns:c16="http://schemas.microsoft.com/office/drawing/2014/chart" uri="{C3380CC4-5D6E-409C-BE32-E72D297353CC}">
                <c16:uniqueId val="{00000004-0CA7-BE4C-B1C2-C630C81A6C79}"/>
              </c:ext>
            </c:extLst>
          </c:dPt>
          <c:dPt>
            <c:idx val="3"/>
            <c:invertIfNegative val="0"/>
            <c:bubble3D val="0"/>
            <c:spPr>
              <a:solidFill>
                <a:schemeClr val="accent6"/>
              </a:solidFill>
              <a:ln w="6350">
                <a:solidFill>
                  <a:schemeClr val="tx1"/>
                </a:solidFill>
              </a:ln>
              <a:effectLst/>
            </c:spPr>
            <c:extLst>
              <c:ext xmlns:c16="http://schemas.microsoft.com/office/drawing/2014/chart" uri="{C3380CC4-5D6E-409C-BE32-E72D297353CC}">
                <c16:uniqueId val="{00000003-0CA7-BE4C-B1C2-C630C81A6C79}"/>
              </c:ext>
            </c:extLst>
          </c:dPt>
          <c:dPt>
            <c:idx val="4"/>
            <c:invertIfNegative val="0"/>
            <c:bubble3D val="0"/>
            <c:spPr>
              <a:solidFill>
                <a:schemeClr val="accent6">
                  <a:lumMod val="20000"/>
                  <a:lumOff val="80000"/>
                </a:schemeClr>
              </a:solidFill>
              <a:ln w="6350">
                <a:solidFill>
                  <a:schemeClr val="tx1"/>
                </a:solidFill>
              </a:ln>
              <a:effectLst/>
            </c:spPr>
            <c:extLst>
              <c:ext xmlns:c16="http://schemas.microsoft.com/office/drawing/2014/chart" uri="{C3380CC4-5D6E-409C-BE32-E72D297353CC}">
                <c16:uniqueId val="{00000005-0CA7-BE4C-B1C2-C630C81A6C79}"/>
              </c:ext>
            </c:extLst>
          </c:dPt>
          <c:dPt>
            <c:idx val="5"/>
            <c:invertIfNegative val="0"/>
            <c:bubble3D val="0"/>
            <c:spPr>
              <a:solidFill>
                <a:schemeClr val="accent6">
                  <a:lumMod val="20000"/>
                  <a:lumOff val="80000"/>
                </a:schemeClr>
              </a:solidFill>
              <a:ln w="6350">
                <a:solidFill>
                  <a:schemeClr val="tx1"/>
                </a:solidFill>
              </a:ln>
              <a:effectLst/>
            </c:spPr>
            <c:extLst>
              <c:ext xmlns:c16="http://schemas.microsoft.com/office/drawing/2014/chart" uri="{C3380CC4-5D6E-409C-BE32-E72D297353CC}">
                <c16:uniqueId val="{00000006-0CA7-BE4C-B1C2-C630C81A6C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Sheet5!$F$11:$F$16</c:f>
              <c:strCache>
                <c:ptCount val="6"/>
                <c:pt idx="0">
                  <c:v>DAC</c:v>
                </c:pt>
                <c:pt idx="1">
                  <c:v>Fugitive Sources</c:v>
                </c:pt>
                <c:pt idx="2">
                  <c:v>Energy Production</c:v>
                </c:pt>
                <c:pt idx="3">
                  <c:v>Electricity</c:v>
                </c:pt>
                <c:pt idx="4">
                  <c:v>Transport</c:v>
                </c:pt>
                <c:pt idx="5">
                  <c:v>Industry - Combustion</c:v>
                </c:pt>
              </c:strCache>
            </c:strRef>
          </c:cat>
          <c:val>
            <c:numRef>
              <c:f>Sheet5!$G$11:$G$16</c:f>
              <c:numCache>
                <c:formatCode>General</c:formatCode>
                <c:ptCount val="6"/>
                <c:pt idx="0">
                  <c:v>-13</c:v>
                </c:pt>
                <c:pt idx="1">
                  <c:v>2</c:v>
                </c:pt>
                <c:pt idx="2">
                  <c:v>4</c:v>
                </c:pt>
                <c:pt idx="3">
                  <c:v>5</c:v>
                </c:pt>
                <c:pt idx="4">
                  <c:v>1</c:v>
                </c:pt>
                <c:pt idx="5">
                  <c:v>1</c:v>
                </c:pt>
              </c:numCache>
            </c:numRef>
          </c:val>
          <c:extLst>
            <c:ext xmlns:c16="http://schemas.microsoft.com/office/drawing/2014/chart" uri="{C3380CC4-5D6E-409C-BE32-E72D297353CC}">
              <c16:uniqueId val="{00000000-0CA7-BE4C-B1C2-C630C81A6C79}"/>
            </c:ext>
          </c:extLst>
        </c:ser>
        <c:dLbls>
          <c:showLegendKey val="0"/>
          <c:showVal val="0"/>
          <c:showCatName val="0"/>
          <c:showSerName val="0"/>
          <c:showPercent val="0"/>
          <c:showBubbleSize val="0"/>
        </c:dLbls>
        <c:gapWidth val="85"/>
        <c:overlap val="-71"/>
        <c:axId val="336177135"/>
        <c:axId val="984721183"/>
      </c:barChart>
      <c:catAx>
        <c:axId val="3361771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984721183"/>
        <c:crosses val="autoZero"/>
        <c:auto val="1"/>
        <c:lblAlgn val="ctr"/>
        <c:lblOffset val="100"/>
        <c:noMultiLvlLbl val="0"/>
      </c:catAx>
      <c:valAx>
        <c:axId val="98472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Emissions Differentials (Mt</a:t>
                </a:r>
                <a:r>
                  <a:rPr lang="en-US" b="1" baseline="0"/>
                  <a:t> CO</a:t>
                </a:r>
                <a:r>
                  <a:rPr lang="en-US" b="1" baseline="-25000"/>
                  <a:t>2</a:t>
                </a:r>
                <a:r>
                  <a:rPr lang="en-US" b="1" baseline="0"/>
                  <a:t> eq)</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617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image" Target="../media/image8.svg"/></Relationships>
</file>

<file path=xl/drawings/_rels/drawing3.xml.rels><?xml version="1.0" encoding="UTF-8" standalone="yes"?>
<Relationships xmlns="http://schemas.openxmlformats.org/package/2006/relationships"><Relationship Id="rId3" Type="http://schemas.openxmlformats.org/officeDocument/2006/relationships/hyperlink" Target="https://loop.frontiersin.org/people/928835" TargetMode="External"/><Relationship Id="rId2" Type="http://schemas.openxmlformats.org/officeDocument/2006/relationships/image" Target="../media/image9.jpeg"/><Relationship Id="rId1" Type="http://schemas.openxmlformats.org/officeDocument/2006/relationships/hyperlink" Target="https://loop.frontiersin.org/people/2271051" TargetMode="External"/><Relationship Id="rId6" Type="http://schemas.openxmlformats.org/officeDocument/2006/relationships/hyperlink" Target="https://loop.frontiersin.org/people/2713580" TargetMode="External"/><Relationship Id="rId5" Type="http://schemas.openxmlformats.org/officeDocument/2006/relationships/hyperlink" Target="https://loop.frontiersin.org/people/2587567" TargetMode="External"/><Relationship Id="rId4" Type="http://schemas.openxmlformats.org/officeDocument/2006/relationships/hyperlink" Target="https://loop.frontiersin.org/people/1077172" TargetMode="Externa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19050</xdr:colOff>
      <xdr:row>15</xdr:row>
      <xdr:rowOff>177800</xdr:rowOff>
    </xdr:from>
    <xdr:to>
      <xdr:col>20</xdr:col>
      <xdr:colOff>12700</xdr:colOff>
      <xdr:row>40</xdr:row>
      <xdr:rowOff>0</xdr:rowOff>
    </xdr:to>
    <xdr:graphicFrame macro="">
      <xdr:nvGraphicFramePr>
        <xdr:cNvPr id="4" name="Chart 3">
          <a:extLst>
            <a:ext uri="{FF2B5EF4-FFF2-40B4-BE49-F238E27FC236}">
              <a16:creationId xmlns:a16="http://schemas.microsoft.com/office/drawing/2014/main" id="{31A7056F-C6F5-259F-1C9B-31CF37535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359833</xdr:colOff>
      <xdr:row>22</xdr:row>
      <xdr:rowOff>76201</xdr:rowOff>
    </xdr:from>
    <xdr:to>
      <xdr:col>12</xdr:col>
      <xdr:colOff>740833</xdr:colOff>
      <xdr:row>24</xdr:row>
      <xdr:rowOff>50801</xdr:rowOff>
    </xdr:to>
    <xdr:pic>
      <xdr:nvPicPr>
        <xdr:cNvPr id="7" name="Graphic 6" descr="City with solid fill">
          <a:extLst>
            <a:ext uri="{FF2B5EF4-FFF2-40B4-BE49-F238E27FC236}">
              <a16:creationId xmlns:a16="http://schemas.microsoft.com/office/drawing/2014/main" id="{EC8485E9-1640-2166-0380-BEB8CC01012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866966" y="4546601"/>
          <a:ext cx="381000" cy="381000"/>
        </a:xfrm>
        <a:prstGeom prst="rect">
          <a:avLst/>
        </a:prstGeom>
      </xdr:spPr>
    </xdr:pic>
    <xdr:clientData/>
  </xdr:twoCellAnchor>
  <xdr:twoCellAnchor editAs="oneCell">
    <xdr:from>
      <xdr:col>13</xdr:col>
      <xdr:colOff>283632</xdr:colOff>
      <xdr:row>32</xdr:row>
      <xdr:rowOff>143934</xdr:rowOff>
    </xdr:from>
    <xdr:to>
      <xdr:col>13</xdr:col>
      <xdr:colOff>702732</xdr:colOff>
      <xdr:row>34</xdr:row>
      <xdr:rowOff>156634</xdr:rowOff>
    </xdr:to>
    <xdr:pic>
      <xdr:nvPicPr>
        <xdr:cNvPr id="9" name="Graphic 8" descr="Car with solid fill">
          <a:extLst>
            <a:ext uri="{FF2B5EF4-FFF2-40B4-BE49-F238E27FC236}">
              <a16:creationId xmlns:a16="http://schemas.microsoft.com/office/drawing/2014/main" id="{E3759904-193D-4C3D-520D-1C55AA8165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620499" y="6646334"/>
          <a:ext cx="419100" cy="419100"/>
        </a:xfrm>
        <a:prstGeom prst="rect">
          <a:avLst/>
        </a:prstGeom>
      </xdr:spPr>
    </xdr:pic>
    <xdr:clientData/>
  </xdr:twoCellAnchor>
  <xdr:twoCellAnchor editAs="oneCell">
    <xdr:from>
      <xdr:col>15</xdr:col>
      <xdr:colOff>412424</xdr:colOff>
      <xdr:row>33</xdr:row>
      <xdr:rowOff>67734</xdr:rowOff>
    </xdr:from>
    <xdr:to>
      <xdr:col>15</xdr:col>
      <xdr:colOff>742624</xdr:colOff>
      <xdr:row>34</xdr:row>
      <xdr:rowOff>194733</xdr:rowOff>
    </xdr:to>
    <xdr:pic>
      <xdr:nvPicPr>
        <xdr:cNvPr id="11" name="Graphic 10" descr="The lulav with solid fill">
          <a:extLst>
            <a:ext uri="{FF2B5EF4-FFF2-40B4-BE49-F238E27FC236}">
              <a16:creationId xmlns:a16="http://schemas.microsoft.com/office/drawing/2014/main" id="{D5A6023E-084F-E577-B789-3CEE1AA2914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08757" y="6773334"/>
          <a:ext cx="330200" cy="330199"/>
        </a:xfrm>
        <a:prstGeom prst="rect">
          <a:avLst/>
        </a:prstGeom>
      </xdr:spPr>
    </xdr:pic>
    <xdr:clientData/>
  </xdr:twoCellAnchor>
  <xdr:twoCellAnchor editAs="oneCell">
    <xdr:from>
      <xdr:col>15</xdr:col>
      <xdr:colOff>651935</xdr:colOff>
      <xdr:row>23</xdr:row>
      <xdr:rowOff>167198</xdr:rowOff>
    </xdr:from>
    <xdr:to>
      <xdr:col>16</xdr:col>
      <xdr:colOff>160867</xdr:colOff>
      <xdr:row>25</xdr:row>
      <xdr:rowOff>99974</xdr:rowOff>
    </xdr:to>
    <xdr:pic>
      <xdr:nvPicPr>
        <xdr:cNvPr id="13" name="Graphic 12" descr="Production with solid fill">
          <a:extLst>
            <a:ext uri="{FF2B5EF4-FFF2-40B4-BE49-F238E27FC236}">
              <a16:creationId xmlns:a16="http://schemas.microsoft.com/office/drawing/2014/main" id="{4EE9A57A-1F31-BF70-1E12-7A276867170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648268" y="4840798"/>
          <a:ext cx="338666" cy="33917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0.27329</cdr:x>
      <cdr:y>0.00625</cdr:y>
    </cdr:from>
    <cdr:to>
      <cdr:x>0.56428</cdr:x>
      <cdr:y>0.09475</cdr:y>
    </cdr:to>
    <cdr:sp macro="" textlink="">
      <cdr:nvSpPr>
        <cdr:cNvPr id="2" name="TextBox 1">
          <a:extLst xmlns:a="http://schemas.openxmlformats.org/drawingml/2006/main">
            <a:ext uri="{FF2B5EF4-FFF2-40B4-BE49-F238E27FC236}">
              <a16:creationId xmlns:a16="http://schemas.microsoft.com/office/drawing/2014/main" id="{7100565E-B1F6-31A7-6FAF-1E557AFAD1FF}"/>
            </a:ext>
          </a:extLst>
        </cdr:cNvPr>
        <cdr:cNvSpPr txBox="1"/>
      </cdr:nvSpPr>
      <cdr:spPr>
        <a:xfrm xmlns:a="http://schemas.openxmlformats.org/drawingml/2006/main">
          <a:off x="2265819" y="30644"/>
          <a:ext cx="2412619" cy="433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0.3544</cdr:x>
      <cdr:y>0.03022</cdr:y>
    </cdr:from>
    <cdr:to>
      <cdr:x>0.50221</cdr:x>
      <cdr:y>0.09806</cdr:y>
    </cdr:to>
    <cdr:sp macro="" textlink="">
      <cdr:nvSpPr>
        <cdr:cNvPr id="3" name="TextBox 2">
          <a:extLst xmlns:a="http://schemas.openxmlformats.org/drawingml/2006/main">
            <a:ext uri="{FF2B5EF4-FFF2-40B4-BE49-F238E27FC236}">
              <a16:creationId xmlns:a16="http://schemas.microsoft.com/office/drawing/2014/main" id="{0C953485-1931-F163-E9DD-F63D04D0103A}"/>
            </a:ext>
          </a:extLst>
        </cdr:cNvPr>
        <cdr:cNvSpPr txBox="1"/>
      </cdr:nvSpPr>
      <cdr:spPr>
        <a:xfrm xmlns:a="http://schemas.openxmlformats.org/drawingml/2006/main">
          <a:off x="2938335" y="148129"/>
          <a:ext cx="1225457" cy="33259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en-US" sz="1400" b="1" kern="1200"/>
            <a:t>Buildings Sector (8)</a:t>
          </a:r>
        </a:p>
      </cdr:txBody>
    </cdr:sp>
  </cdr:relSizeAnchor>
  <cdr:relSizeAnchor xmlns:cdr="http://schemas.openxmlformats.org/drawingml/2006/chartDrawing">
    <cdr:from>
      <cdr:x>0.35465</cdr:x>
      <cdr:y>0.10188</cdr:y>
    </cdr:from>
    <cdr:to>
      <cdr:x>0.50246</cdr:x>
      <cdr:y>0.16972</cdr:y>
    </cdr:to>
    <cdr:sp macro="" textlink="">
      <cdr:nvSpPr>
        <cdr:cNvPr id="4" name="TextBox 1">
          <a:extLst xmlns:a="http://schemas.openxmlformats.org/drawingml/2006/main">
            <a:ext uri="{FF2B5EF4-FFF2-40B4-BE49-F238E27FC236}">
              <a16:creationId xmlns:a16="http://schemas.microsoft.com/office/drawing/2014/main" id="{4FCC431A-3048-6480-BDFF-A9E7C0EC1E3E}"/>
            </a:ext>
          </a:extLst>
        </cdr:cNvPr>
        <cdr:cNvSpPr txBox="1"/>
      </cdr:nvSpPr>
      <cdr:spPr>
        <a:xfrm xmlns:a="http://schemas.openxmlformats.org/drawingml/2006/main">
          <a:off x="2940419" y="499421"/>
          <a:ext cx="1225458" cy="33259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t>Transportation Sector (6)</a:t>
          </a:r>
        </a:p>
      </cdr:txBody>
    </cdr:sp>
  </cdr:relSizeAnchor>
  <cdr:relSizeAnchor xmlns:cdr="http://schemas.openxmlformats.org/drawingml/2006/chartDrawing">
    <cdr:from>
      <cdr:x>0.35465</cdr:x>
      <cdr:y>0.17181</cdr:y>
    </cdr:from>
    <cdr:to>
      <cdr:x>0.50246</cdr:x>
      <cdr:y>0.23966</cdr:y>
    </cdr:to>
    <cdr:sp macro="" textlink="">
      <cdr:nvSpPr>
        <cdr:cNvPr id="5" name="TextBox 1">
          <a:extLst xmlns:a="http://schemas.openxmlformats.org/drawingml/2006/main">
            <a:ext uri="{FF2B5EF4-FFF2-40B4-BE49-F238E27FC236}">
              <a16:creationId xmlns:a16="http://schemas.microsoft.com/office/drawing/2014/main" id="{EAC82790-BC03-1F8C-9F2E-D8B8BDD0B03F}"/>
            </a:ext>
          </a:extLst>
        </cdr:cNvPr>
        <cdr:cNvSpPr txBox="1"/>
      </cdr:nvSpPr>
      <cdr:spPr>
        <a:xfrm xmlns:a="http://schemas.openxmlformats.org/drawingml/2006/main">
          <a:off x="2940419" y="842245"/>
          <a:ext cx="1225458" cy="3325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t>Agricultural Sector (4)</a:t>
          </a:r>
        </a:p>
      </cdr:txBody>
    </cdr:sp>
  </cdr:relSizeAnchor>
  <cdr:relSizeAnchor xmlns:cdr="http://schemas.openxmlformats.org/drawingml/2006/chartDrawing">
    <cdr:from>
      <cdr:x>0.35465</cdr:x>
      <cdr:y>0.2452</cdr:y>
    </cdr:from>
    <cdr:to>
      <cdr:x>0.50246</cdr:x>
      <cdr:y>0.31304</cdr:y>
    </cdr:to>
    <cdr:sp macro="" textlink="">
      <cdr:nvSpPr>
        <cdr:cNvPr id="7" name="TextBox 1">
          <a:extLst xmlns:a="http://schemas.openxmlformats.org/drawingml/2006/main">
            <a:ext uri="{FF2B5EF4-FFF2-40B4-BE49-F238E27FC236}">
              <a16:creationId xmlns:a16="http://schemas.microsoft.com/office/drawing/2014/main" id="{D584383F-291A-6690-97AC-734CA7B4BA41}"/>
            </a:ext>
          </a:extLst>
        </cdr:cNvPr>
        <cdr:cNvSpPr txBox="1"/>
      </cdr:nvSpPr>
      <cdr:spPr>
        <a:xfrm xmlns:a="http://schemas.openxmlformats.org/drawingml/2006/main">
          <a:off x="2940420" y="1202004"/>
          <a:ext cx="1225458" cy="3325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t>Industrial Sector (1)</a:t>
          </a:r>
        </a:p>
      </cdr:txBody>
    </cdr:sp>
  </cdr:relSizeAnchor>
  <cdr:relSizeAnchor xmlns:cdr="http://schemas.openxmlformats.org/drawingml/2006/chartDrawing">
    <cdr:from>
      <cdr:x>0.43572</cdr:x>
      <cdr:y>0.47472</cdr:y>
    </cdr:from>
    <cdr:to>
      <cdr:x>0.58353</cdr:x>
      <cdr:y>0.54257</cdr:y>
    </cdr:to>
    <cdr:sp macro="" textlink="">
      <cdr:nvSpPr>
        <cdr:cNvPr id="8" name="TextBox 1">
          <a:extLst xmlns:a="http://schemas.openxmlformats.org/drawingml/2006/main">
            <a:ext uri="{FF2B5EF4-FFF2-40B4-BE49-F238E27FC236}">
              <a16:creationId xmlns:a16="http://schemas.microsoft.com/office/drawing/2014/main" id="{34E3FB39-3D84-BA98-7FEB-F36A5DE3F45D}"/>
            </a:ext>
          </a:extLst>
        </cdr:cNvPr>
        <cdr:cNvSpPr txBox="1"/>
      </cdr:nvSpPr>
      <cdr:spPr>
        <a:xfrm xmlns:a="http://schemas.openxmlformats.org/drawingml/2006/main">
          <a:off x="3594100" y="2327172"/>
          <a:ext cx="1219200" cy="3325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600" b="1" kern="1200"/>
            <a:t>Total = 19 Regions</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1</xdr:col>
      <xdr:colOff>114300</xdr:colOff>
      <xdr:row>22</xdr:row>
      <xdr:rowOff>25400</xdr:rowOff>
    </xdr:to>
    <xdr:pic>
      <xdr:nvPicPr>
        <xdr:cNvPr id="2" name="Picture 1" descr="Stephanie Rose Cortinovis&#10;">
          <a:hlinkClick xmlns:r="http://schemas.openxmlformats.org/officeDocument/2006/relationships" r:id="rId1"/>
          <a:extLst>
            <a:ext uri="{FF2B5EF4-FFF2-40B4-BE49-F238E27FC236}">
              <a16:creationId xmlns:a16="http://schemas.microsoft.com/office/drawing/2014/main" id="{437A3131-04A5-FFC1-FECA-E696AB990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78400"/>
          <a:ext cx="93980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1</xdr:col>
      <xdr:colOff>114300</xdr:colOff>
      <xdr:row>23</xdr:row>
      <xdr:rowOff>127000</xdr:rowOff>
    </xdr:to>
    <xdr:pic>
      <xdr:nvPicPr>
        <xdr:cNvPr id="3" name="Picture 2" descr="Neil Craik,">
          <a:hlinkClick xmlns:r="http://schemas.openxmlformats.org/officeDocument/2006/relationships" r:id="rId3"/>
          <a:extLst>
            <a:ext uri="{FF2B5EF4-FFF2-40B4-BE49-F238E27FC236}">
              <a16:creationId xmlns:a16="http://schemas.microsoft.com/office/drawing/2014/main" id="{77AF1520-2E2B-A0CE-9791-4BFC1064EE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83200"/>
          <a:ext cx="93980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114300</xdr:colOff>
      <xdr:row>25</xdr:row>
      <xdr:rowOff>25400</xdr:rowOff>
    </xdr:to>
    <xdr:pic>
      <xdr:nvPicPr>
        <xdr:cNvPr id="4" name="Picture 3" descr="Juan Moreno-Cruz,,">
          <a:hlinkClick xmlns:r="http://schemas.openxmlformats.org/officeDocument/2006/relationships" r:id="rId4"/>
          <a:extLst>
            <a:ext uri="{FF2B5EF4-FFF2-40B4-BE49-F238E27FC236}">
              <a16:creationId xmlns:a16="http://schemas.microsoft.com/office/drawing/2014/main" id="{38321185-1846-C748-4E46-1B0555FB0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588000"/>
          <a:ext cx="93980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1</xdr:col>
      <xdr:colOff>114300</xdr:colOff>
      <xdr:row>26</xdr:row>
      <xdr:rowOff>127000</xdr:rowOff>
    </xdr:to>
    <xdr:pic>
      <xdr:nvPicPr>
        <xdr:cNvPr id="5" name="Picture 4" descr="Kasra Motlaghzadeh">
          <a:hlinkClick xmlns:r="http://schemas.openxmlformats.org/officeDocument/2006/relationships" r:id="rId5"/>
          <a:extLst>
            <a:ext uri="{FF2B5EF4-FFF2-40B4-BE49-F238E27FC236}">
              <a16:creationId xmlns:a16="http://schemas.microsoft.com/office/drawing/2014/main" id="{20576EE6-16F8-D3F6-6418-EF4CB8DE48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92800"/>
          <a:ext cx="93980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1</xdr:col>
      <xdr:colOff>114300</xdr:colOff>
      <xdr:row>27</xdr:row>
      <xdr:rowOff>127000</xdr:rowOff>
    </xdr:to>
    <xdr:pic>
      <xdr:nvPicPr>
        <xdr:cNvPr id="6" name="Picture 5" descr="Vanessa Schweizer,">
          <a:hlinkClick xmlns:r="http://schemas.openxmlformats.org/officeDocument/2006/relationships" r:id="rId6"/>
          <a:extLst>
            <a:ext uri="{FF2B5EF4-FFF2-40B4-BE49-F238E27FC236}">
              <a16:creationId xmlns:a16="http://schemas.microsoft.com/office/drawing/2014/main" id="{1236FA48-EA19-63BB-8BE4-6E7E632DB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96000"/>
          <a:ext cx="93980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25400</xdr:colOff>
      <xdr:row>9</xdr:row>
      <xdr:rowOff>50800</xdr:rowOff>
    </xdr:from>
    <xdr:to>
      <xdr:col>16</xdr:col>
      <xdr:colOff>91440</xdr:colOff>
      <xdr:row>32</xdr:row>
      <xdr:rowOff>60960</xdr:rowOff>
    </xdr:to>
    <xdr:graphicFrame macro="">
      <xdr:nvGraphicFramePr>
        <xdr:cNvPr id="2" name="Chart 1">
          <a:extLst>
            <a:ext uri="{FF2B5EF4-FFF2-40B4-BE49-F238E27FC236}">
              <a16:creationId xmlns:a16="http://schemas.microsoft.com/office/drawing/2014/main" id="{691376C7-EF81-D59A-F5F7-D207615C7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nature.com/articles/s41467-020-20437-0" TargetMode="External"/><Relationship Id="rId3" Type="http://schemas.openxmlformats.org/officeDocument/2006/relationships/hyperlink" Target="https://www.nature.com/articles/s43247-025-02080-z" TargetMode="External"/><Relationship Id="rId7" Type="http://schemas.openxmlformats.org/officeDocument/2006/relationships/hyperlink" Target="https://loop.frontiersin.org/people/2713580" TargetMode="External"/><Relationship Id="rId12" Type="http://schemas.openxmlformats.org/officeDocument/2006/relationships/drawing" Target="../drawings/drawing3.xml"/><Relationship Id="rId2" Type="http://schemas.openxmlformats.org/officeDocument/2006/relationships/hyperlink" Target="https://www.nature.com/articles/s43247-025-02080-z" TargetMode="External"/><Relationship Id="rId1" Type="http://schemas.openxmlformats.org/officeDocument/2006/relationships/hyperlink" Target="https://www.nature.com/articles/s43247-025-02080-z" TargetMode="External"/><Relationship Id="rId6" Type="http://schemas.openxmlformats.org/officeDocument/2006/relationships/hyperlink" Target="https://www.nature.com/articles/s43247-025-02080-z" TargetMode="External"/><Relationship Id="rId11" Type="http://schemas.openxmlformats.org/officeDocument/2006/relationships/hyperlink" Target="https://www.nature.com/articles/s41467-020-20437-0" TargetMode="External"/><Relationship Id="rId5" Type="http://schemas.openxmlformats.org/officeDocument/2006/relationships/hyperlink" Target="https://www.nature.com/articles/s43247-025-02080-z" TargetMode="External"/><Relationship Id="rId10" Type="http://schemas.openxmlformats.org/officeDocument/2006/relationships/hyperlink" Target="https://www.nature.com/articles/s41467-020-20437-0" TargetMode="External"/><Relationship Id="rId4" Type="http://schemas.openxmlformats.org/officeDocument/2006/relationships/hyperlink" Target="https://www.nature.com/articles/s43247-025-02080-z" TargetMode="External"/><Relationship Id="rId9" Type="http://schemas.openxmlformats.org/officeDocument/2006/relationships/hyperlink" Target="https://www.nature.com/articles/s41467-020-20437-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ature.com/articles/s41558-024-02025-y"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E3F2-2E0D-2647-8519-71B1ADF470F5}">
  <dimension ref="A1"/>
  <sheetViews>
    <sheetView workbookViewId="0">
      <selection activeCell="F25" sqref="F25"/>
    </sheetView>
  </sheetViews>
  <sheetFormatPr baseColWidth="10" defaultRowHeight="1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2CAC-2CDA-D146-8AD6-241C3E3DC191}">
  <dimension ref="A1:O25"/>
  <sheetViews>
    <sheetView tabSelected="1" topLeftCell="H12" zoomScale="150" workbookViewId="0">
      <selection activeCell="R13" sqref="R13"/>
    </sheetView>
  </sheetViews>
  <sheetFormatPr baseColWidth="10" defaultRowHeight="16"/>
  <cols>
    <col min="1" max="1" width="16" bestFit="1" customWidth="1"/>
    <col min="2" max="2" width="13" bestFit="1" customWidth="1"/>
  </cols>
  <sheetData>
    <row r="1" spans="1:15">
      <c r="A1" s="2" t="s">
        <v>0</v>
      </c>
      <c r="B1" s="2" t="s">
        <v>1</v>
      </c>
      <c r="C1" t="s">
        <v>6</v>
      </c>
      <c r="D1">
        <v>-3.0999999999999999E-3</v>
      </c>
    </row>
    <row r="2" spans="1:15">
      <c r="A2" s="2"/>
      <c r="B2" s="2"/>
      <c r="C2" t="s">
        <v>7</v>
      </c>
      <c r="D2">
        <v>-0.01</v>
      </c>
    </row>
    <row r="3" spans="1:15">
      <c r="A3" s="2"/>
      <c r="B3" s="2"/>
      <c r="C3" t="s">
        <v>8</v>
      </c>
      <c r="D3">
        <v>2.7000000000000001E-3</v>
      </c>
    </row>
    <row r="4" spans="1:15">
      <c r="A4" s="2"/>
      <c r="B4" s="2"/>
      <c r="C4" t="s">
        <v>9</v>
      </c>
      <c r="D4">
        <v>-4.5400000000000003E-2</v>
      </c>
    </row>
    <row r="5" spans="1:15">
      <c r="A5" s="2"/>
      <c r="B5" s="2"/>
      <c r="C5" t="s">
        <v>10</v>
      </c>
      <c r="D5">
        <v>-1.5E-3</v>
      </c>
    </row>
    <row r="6" spans="1:15">
      <c r="A6" s="2"/>
      <c r="B6" s="2"/>
      <c r="C6" t="s">
        <v>11</v>
      </c>
      <c r="D6">
        <v>-9.7000000000000003E-3</v>
      </c>
    </row>
    <row r="7" spans="1:15">
      <c r="A7" s="2"/>
      <c r="B7" s="2"/>
      <c r="C7" t="s">
        <v>12</v>
      </c>
      <c r="D7">
        <v>-8.3000000000000001E-3</v>
      </c>
    </row>
    <row r="8" spans="1:15">
      <c r="A8" s="2"/>
      <c r="B8" s="2" t="s">
        <v>2</v>
      </c>
      <c r="C8" t="s">
        <v>13</v>
      </c>
      <c r="D8">
        <v>2.1899999999999999E-2</v>
      </c>
    </row>
    <row r="9" spans="1:15">
      <c r="A9" s="2"/>
      <c r="B9" s="2"/>
      <c r="C9" t="s">
        <v>19</v>
      </c>
      <c r="D9">
        <v>7.5200000000000003E-2</v>
      </c>
    </row>
    <row r="10" spans="1:15">
      <c r="A10" s="2"/>
      <c r="B10" s="2"/>
      <c r="C10" t="s">
        <v>20</v>
      </c>
      <c r="D10">
        <v>-2.8299999999999999E-2</v>
      </c>
      <c r="M10" t="s">
        <v>28</v>
      </c>
      <c r="N10" t="s">
        <v>30</v>
      </c>
      <c r="O10" t="s">
        <v>29</v>
      </c>
    </row>
    <row r="11" spans="1:15">
      <c r="A11" s="2"/>
      <c r="B11" s="2"/>
      <c r="C11" t="s">
        <v>21</v>
      </c>
      <c r="D11">
        <v>-1.7500000000000002E-2</v>
      </c>
      <c r="M11" t="s">
        <v>141</v>
      </c>
      <c r="N11" s="3">
        <v>0.8</v>
      </c>
      <c r="O11" s="3">
        <f>1-N11</f>
        <v>0.19999999999999996</v>
      </c>
    </row>
    <row r="12" spans="1:15">
      <c r="A12" s="2"/>
      <c r="B12" s="2"/>
      <c r="C12" t="s">
        <v>22</v>
      </c>
      <c r="D12">
        <v>2.5899999999999999E-2</v>
      </c>
      <c r="M12" t="s">
        <v>2</v>
      </c>
      <c r="N12" s="3">
        <f>0.6</f>
        <v>0.6</v>
      </c>
      <c r="O12" s="3">
        <f t="shared" ref="O12:O15" si="0">1-N12</f>
        <v>0.4</v>
      </c>
    </row>
    <row r="13" spans="1:15">
      <c r="A13" s="2"/>
      <c r="B13" s="2"/>
      <c r="C13" t="s">
        <v>23</v>
      </c>
      <c r="D13">
        <v>6.7999999999999996E-3</v>
      </c>
      <c r="M13" t="s">
        <v>3</v>
      </c>
      <c r="N13" s="3">
        <f>0.4</f>
        <v>0.4</v>
      </c>
      <c r="O13" s="3">
        <f t="shared" si="0"/>
        <v>0.6</v>
      </c>
    </row>
    <row r="14" spans="1:15">
      <c r="A14" s="2"/>
      <c r="B14" s="2" t="s">
        <v>3</v>
      </c>
      <c r="C14" t="s">
        <v>14</v>
      </c>
      <c r="D14">
        <v>0.1159</v>
      </c>
      <c r="N14" s="3"/>
      <c r="O14" s="3"/>
    </row>
    <row r="15" spans="1:15">
      <c r="A15" s="2"/>
      <c r="B15" s="2"/>
      <c r="C15" t="s">
        <v>15</v>
      </c>
      <c r="D15">
        <v>5.8500000000000003E-2</v>
      </c>
      <c r="M15" t="s">
        <v>5</v>
      </c>
      <c r="N15" s="3">
        <f>0.1</f>
        <v>0.1</v>
      </c>
      <c r="O15" s="3">
        <f t="shared" si="0"/>
        <v>0.9</v>
      </c>
    </row>
    <row r="16" spans="1:15">
      <c r="A16" s="2"/>
      <c r="B16" s="2"/>
      <c r="C16" t="s">
        <v>16</v>
      </c>
      <c r="D16">
        <v>-6.6799999999999998E-2</v>
      </c>
    </row>
    <row r="17" spans="1:4">
      <c r="A17" s="2"/>
      <c r="B17" s="2"/>
      <c r="C17" t="s">
        <v>24</v>
      </c>
      <c r="D17">
        <v>-1.5900000000000001E-2</v>
      </c>
    </row>
    <row r="18" spans="1:4">
      <c r="A18" s="2"/>
      <c r="B18" s="1" t="s">
        <v>4</v>
      </c>
      <c r="C18" t="s">
        <v>17</v>
      </c>
      <c r="D18">
        <v>-8.3000000000000001E-3</v>
      </c>
    </row>
    <row r="19" spans="1:4">
      <c r="A19" s="2"/>
      <c r="B19" s="1" t="s">
        <v>5</v>
      </c>
      <c r="C19" t="s">
        <v>18</v>
      </c>
      <c r="D19">
        <v>-0.1578</v>
      </c>
    </row>
    <row r="23" spans="1:4">
      <c r="C23" t="s">
        <v>25</v>
      </c>
    </row>
    <row r="24" spans="1:4">
      <c r="C24" t="s">
        <v>26</v>
      </c>
    </row>
    <row r="25" spans="1:4">
      <c r="C25" t="s">
        <v>27</v>
      </c>
    </row>
  </sheetData>
  <mergeCells count="4">
    <mergeCell ref="B1:B7"/>
    <mergeCell ref="B8:B13"/>
    <mergeCell ref="B14:B17"/>
    <mergeCell ref="A1:A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93B1-388E-154C-A682-ED3B6877B9F0}">
  <dimension ref="A1:A37"/>
  <sheetViews>
    <sheetView workbookViewId="0">
      <selection activeCell="F24" sqref="F24"/>
    </sheetView>
  </sheetViews>
  <sheetFormatPr baseColWidth="10" defaultRowHeight="16"/>
  <sheetData>
    <row r="1" spans="1:1" ht="40">
      <c r="A1" s="4" t="s">
        <v>31</v>
      </c>
    </row>
    <row r="2" spans="1:1" ht="20">
      <c r="A2" s="5" t="s">
        <v>32</v>
      </c>
    </row>
    <row r="4" spans="1:1">
      <c r="A4" t="s">
        <v>33</v>
      </c>
    </row>
    <row r="6" spans="1:1" ht="33">
      <c r="A6" s="6" t="s">
        <v>34</v>
      </c>
    </row>
    <row r="7" spans="1:1">
      <c r="A7" s="7" t="s">
        <v>35</v>
      </c>
    </row>
    <row r="8" spans="1:1">
      <c r="A8" s="7" t="s">
        <v>36</v>
      </c>
    </row>
    <row r="9" spans="1:1">
      <c r="A9" s="7" t="s">
        <v>37</v>
      </c>
    </row>
    <row r="10" spans="1:1">
      <c r="A10" s="7" t="s">
        <v>38</v>
      </c>
    </row>
    <row r="11" spans="1:1">
      <c r="A11" s="7" t="s">
        <v>39</v>
      </c>
    </row>
    <row r="12" spans="1:1">
      <c r="A12" s="7" t="s">
        <v>40</v>
      </c>
    </row>
    <row r="15" spans="1:1" ht="40">
      <c r="A15" s="4" t="s">
        <v>41</v>
      </c>
    </row>
    <row r="16" spans="1:1" ht="20">
      <c r="A16" s="5" t="s">
        <v>42</v>
      </c>
    </row>
    <row r="19" spans="1:1" ht="31">
      <c r="A19" s="8" t="s">
        <v>43</v>
      </c>
    </row>
    <row r="20" spans="1:1" ht="24">
      <c r="A20" s="9" t="s">
        <v>44</v>
      </c>
    </row>
    <row r="21" spans="1:1" ht="24">
      <c r="A21" s="9" t="s">
        <v>45</v>
      </c>
    </row>
    <row r="22" spans="1:1" ht="24">
      <c r="A22" s="9" t="s">
        <v>46</v>
      </c>
    </row>
    <row r="23" spans="1:1">
      <c r="A23" s="7" t="s">
        <v>47</v>
      </c>
    </row>
    <row r="24" spans="1:1">
      <c r="A24" s="7" t="s">
        <v>48</v>
      </c>
    </row>
    <row r="30" spans="1:1" ht="32">
      <c r="A30" s="10" t="s">
        <v>49</v>
      </c>
    </row>
    <row r="31" spans="1:1">
      <c r="A31" s="7" t="s">
        <v>50</v>
      </c>
    </row>
    <row r="32" spans="1:1">
      <c r="A32" s="7" t="s">
        <v>51</v>
      </c>
    </row>
    <row r="33" spans="1:1">
      <c r="A33" s="7" t="s">
        <v>52</v>
      </c>
    </row>
    <row r="34" spans="1:1">
      <c r="A34" s="7" t="s">
        <v>53</v>
      </c>
    </row>
    <row r="36" spans="1:1" ht="30">
      <c r="A36" s="11" t="s">
        <v>54</v>
      </c>
    </row>
    <row r="37" spans="1:1">
      <c r="A37" s="12" t="s">
        <v>55</v>
      </c>
    </row>
  </sheetData>
  <hyperlinks>
    <hyperlink ref="A7" r:id="rId1" location="auth-Kasra-Motlaghzadeh-Aff1-Aff2" display="https://www.nature.com/articles/s43247-025-02080-z - auth-Kasra-Motlaghzadeh-Aff1-Aff2" xr:uid="{A842D159-BACD-1143-B3EA-FD39EC6157C7}"/>
    <hyperlink ref="A8" r:id="rId2" location="auth-Neil-Craik-Aff2-Aff3-Aff4" display="https://www.nature.com/articles/s43247-025-02080-z - auth-Neil-Craik-Aff2-Aff3-Aff4" xr:uid="{301796B7-3579-FC4B-81AD-71D2E56F6533}"/>
    <hyperlink ref="A9" r:id="rId3" location="auth-Juan-Moreno_Cruz-Aff2-Aff3-Aff4" display="https://www.nature.com/articles/s43247-025-02080-z - auth-Juan-Moreno_Cruz-Aff2-Aff3-Aff4" xr:uid="{C2D2E430-E84D-F148-8390-AE448CB2ACB8}"/>
    <hyperlink ref="A10" r:id="rId4" location="auth-Vanessa-Schweizer-Aff2-Aff3-Aff5" display="https://www.nature.com/articles/s43247-025-02080-z - auth-Vanessa-Schweizer-Aff2-Aff3-Aff5" xr:uid="{AAFC9AD1-7420-214C-8688-95E2578E7E2C}"/>
    <hyperlink ref="A11" r:id="rId5" location="auth-Jay-Fuhrman-Aff6" display="https://www.nature.com/articles/s43247-025-02080-z - auth-Jay-Fuhrman-Aff6" xr:uid="{8799C788-8457-E44A-92B4-F6572FDB12A4}"/>
    <hyperlink ref="A12" r:id="rId6" location="auth-Keith_W_-Hipel-Aff1-Aff3" display="https://www.nature.com/articles/s43247-025-02080-z - auth-Keith_W_-Hipel-Aff1-Aff3" xr:uid="{7A28CCB0-E214-C745-8C9F-13C6A0AD210A}"/>
    <hyperlink ref="A23:A24" r:id="rId7" display="https://loop.frontiersin.org/people/2713580" xr:uid="{27DE9C9A-40BD-094B-B42D-60A8B7AE1F22}"/>
    <hyperlink ref="A31" r:id="rId8" location="auth-Ryan-Hanna-Aff1-Aff2" display="https://www.nature.com/articles/s41467-020-20437-0 - auth-Ryan-Hanna-Aff1-Aff2" xr:uid="{42CFE973-237D-5F43-B0AE-AAAAACEEB8C8}"/>
    <hyperlink ref="A32" r:id="rId9" location="auth-Ahmed-Abdulla-Aff2-Aff3" display="https://www.nature.com/articles/s41467-020-20437-0 - auth-Ahmed-Abdulla-Aff2-Aff3" xr:uid="{AB68F281-F6A0-514D-B4EB-BC64BB3573D8}"/>
    <hyperlink ref="A33" r:id="rId10" location="auth-Yangyang-Xu-Aff4" display="https://www.nature.com/articles/s41467-020-20437-0 - auth-Yangyang-Xu-Aff4" xr:uid="{A41CA59A-5FD1-3F4F-8936-1363D1C35AD1}"/>
    <hyperlink ref="A34" r:id="rId11" location="auth-David_G_-Victor-Aff2-Aff5-Aff6-Aff7" display="https://www.nature.com/articles/s41467-020-20437-0 - auth-David_G_-Victor-Aff2-Aff5-Aff6-Aff7" xr:uid="{1EE21BC7-F0D0-1C4E-962A-9C9DDD36CDE9}"/>
  </hyperlink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168C9-61CE-A140-B1DE-205708FB4107}">
  <dimension ref="A10:V104"/>
  <sheetViews>
    <sheetView topLeftCell="A21" workbookViewId="0">
      <selection activeCell="H21" sqref="H21"/>
    </sheetView>
  </sheetViews>
  <sheetFormatPr baseColWidth="10" defaultRowHeight="16"/>
  <sheetData>
    <row r="10" spans="1:10" s="26" customFormat="1" ht="26">
      <c r="A10" s="32" t="s">
        <v>58</v>
      </c>
      <c r="J10" s="31" t="s">
        <v>59</v>
      </c>
    </row>
    <row r="11" spans="1:10" ht="18">
      <c r="A11" s="13" t="s">
        <v>56</v>
      </c>
    </row>
    <row r="12" spans="1:10" ht="18">
      <c r="A12" s="13" t="s">
        <v>57</v>
      </c>
    </row>
    <row r="13" spans="1:10">
      <c r="A13" s="16" t="s">
        <v>60</v>
      </c>
    </row>
    <row r="14" spans="1:10">
      <c r="A14" s="16" t="s">
        <v>61</v>
      </c>
    </row>
    <row r="15" spans="1:10" ht="20">
      <c r="A15" s="17" t="s">
        <v>62</v>
      </c>
    </row>
    <row r="16" spans="1:10" ht="20">
      <c r="A16" s="17" t="s">
        <v>63</v>
      </c>
    </row>
    <row r="17" spans="1:1" ht="20">
      <c r="A17" s="17" t="s">
        <v>64</v>
      </c>
    </row>
    <row r="18" spans="1:1" ht="20">
      <c r="A18" s="17" t="s">
        <v>65</v>
      </c>
    </row>
    <row r="19" spans="1:1" ht="20">
      <c r="A19" s="17" t="s">
        <v>66</v>
      </c>
    </row>
    <row r="20" spans="1:1" ht="20">
      <c r="A20" s="17" t="s">
        <v>67</v>
      </c>
    </row>
    <row r="21" spans="1:1" ht="20">
      <c r="A21" s="17" t="s">
        <v>68</v>
      </c>
    </row>
    <row r="22" spans="1:1" ht="20">
      <c r="A22" s="17" t="s">
        <v>69</v>
      </c>
    </row>
    <row r="23" spans="1:1" ht="20">
      <c r="A23" s="17" t="s">
        <v>70</v>
      </c>
    </row>
    <row r="24" spans="1:1" ht="20">
      <c r="A24" s="17" t="s">
        <v>71</v>
      </c>
    </row>
    <row r="25" spans="1:1" ht="20">
      <c r="A25" s="17" t="s">
        <v>72</v>
      </c>
    </row>
    <row r="26" spans="1:1" ht="20">
      <c r="A26" s="17" t="s">
        <v>73</v>
      </c>
    </row>
    <row r="27" spans="1:1" ht="20">
      <c r="A27" s="17" t="s">
        <v>74</v>
      </c>
    </row>
    <row r="28" spans="1:1" ht="20">
      <c r="A28" s="17" t="s">
        <v>75</v>
      </c>
    </row>
    <row r="29" spans="1:1" ht="20">
      <c r="A29" s="17" t="s">
        <v>76</v>
      </c>
    </row>
    <row r="30" spans="1:1" ht="20">
      <c r="A30" s="17" t="s">
        <v>77</v>
      </c>
    </row>
    <row r="31" spans="1:1" ht="20">
      <c r="A31" s="17" t="s">
        <v>78</v>
      </c>
    </row>
    <row r="32" spans="1:1" ht="20">
      <c r="A32" s="17" t="s">
        <v>79</v>
      </c>
    </row>
    <row r="33" spans="1:22" ht="20">
      <c r="A33" s="17" t="s">
        <v>80</v>
      </c>
    </row>
    <row r="41" spans="1:22" s="26" customFormat="1" ht="58">
      <c r="A41" s="30" t="s">
        <v>99</v>
      </c>
      <c r="V41" s="31" t="s">
        <v>100</v>
      </c>
    </row>
    <row r="42" spans="1:22">
      <c r="A42" s="14" t="s">
        <v>81</v>
      </c>
    </row>
    <row r="43" spans="1:22" ht="20">
      <c r="A43" s="15" t="s">
        <v>82</v>
      </c>
    </row>
    <row r="44" spans="1:22" ht="20">
      <c r="A44" s="15" t="s">
        <v>83</v>
      </c>
    </row>
    <row r="45" spans="1:22">
      <c r="A45" s="14" t="s">
        <v>84</v>
      </c>
    </row>
    <row r="46" spans="1:22" ht="20">
      <c r="A46" s="15" t="s">
        <v>85</v>
      </c>
    </row>
    <row r="47" spans="1:22" ht="20">
      <c r="A47" s="15" t="s">
        <v>86</v>
      </c>
    </row>
    <row r="48" spans="1:22" ht="20">
      <c r="A48" s="15" t="s">
        <v>87</v>
      </c>
    </row>
    <row r="50" spans="1:14" ht="90" customHeight="1">
      <c r="A50" s="18" t="s">
        <v>88</v>
      </c>
      <c r="B50" s="18"/>
      <c r="C50" s="18"/>
      <c r="D50" s="18"/>
      <c r="E50" s="18"/>
      <c r="F50" s="18"/>
      <c r="G50" s="18"/>
      <c r="H50" s="18"/>
      <c r="I50" s="18"/>
      <c r="J50" s="18"/>
      <c r="K50" s="18"/>
      <c r="L50" s="18"/>
      <c r="M50" s="18"/>
      <c r="N50" s="14" t="s">
        <v>97</v>
      </c>
    </row>
    <row r="51" spans="1:14" ht="20">
      <c r="A51" s="14" t="s">
        <v>89</v>
      </c>
      <c r="N51" s="15" t="s">
        <v>98</v>
      </c>
    </row>
    <row r="52" spans="1:14" ht="20">
      <c r="A52" s="15" t="s">
        <v>90</v>
      </c>
    </row>
    <row r="53" spans="1:14" ht="20">
      <c r="A53" s="15" t="s">
        <v>91</v>
      </c>
    </row>
    <row r="55" spans="1:14">
      <c r="A55" s="14" t="s">
        <v>92</v>
      </c>
    </row>
    <row r="56" spans="1:14" ht="20">
      <c r="A56" s="15" t="s">
        <v>93</v>
      </c>
    </row>
    <row r="57" spans="1:14" ht="20">
      <c r="A57" s="15" t="s">
        <v>94</v>
      </c>
    </row>
    <row r="58" spans="1:14" ht="20">
      <c r="A58" s="15" t="s">
        <v>95</v>
      </c>
    </row>
    <row r="59" spans="1:14" ht="20">
      <c r="A59" s="15" t="s">
        <v>96</v>
      </c>
    </row>
    <row r="63" spans="1:14" s="26" customFormat="1" ht="25">
      <c r="A63" s="26" t="s">
        <v>101</v>
      </c>
      <c r="D63" s="27" t="s">
        <v>102</v>
      </c>
      <c r="N63" s="26" t="s">
        <v>103</v>
      </c>
    </row>
    <row r="65" spans="1:7">
      <c r="A65" t="s">
        <v>104</v>
      </c>
    </row>
    <row r="66" spans="1:7">
      <c r="A66" s="20" t="s">
        <v>105</v>
      </c>
    </row>
    <row r="67" spans="1:7">
      <c r="A67" s="19" t="s">
        <v>106</v>
      </c>
    </row>
    <row r="69" spans="1:7">
      <c r="A69" s="19" t="s">
        <v>107</v>
      </c>
    </row>
    <row r="70" spans="1:7">
      <c r="A70" s="19" t="s">
        <v>108</v>
      </c>
    </row>
    <row r="71" spans="1:7">
      <c r="A71" s="19" t="s">
        <v>109</v>
      </c>
    </row>
    <row r="72" spans="1:7">
      <c r="A72" s="19" t="s">
        <v>110</v>
      </c>
    </row>
    <row r="73" spans="1:7">
      <c r="A73" s="19" t="s">
        <v>111</v>
      </c>
    </row>
    <row r="75" spans="1:7">
      <c r="A75" s="21"/>
      <c r="B75" s="22" t="s">
        <v>112</v>
      </c>
      <c r="C75" s="22" t="s">
        <v>113</v>
      </c>
      <c r="D75" s="22" t="s">
        <v>114</v>
      </c>
    </row>
    <row r="76" spans="1:7">
      <c r="A76" s="21"/>
      <c r="B76" s="22"/>
      <c r="C76" s="22"/>
      <c r="D76" s="22"/>
    </row>
    <row r="77" spans="1:7">
      <c r="A77" s="22" t="s">
        <v>115</v>
      </c>
      <c r="B77" s="22" t="s">
        <v>116</v>
      </c>
      <c r="C77" s="22" t="s">
        <v>117</v>
      </c>
      <c r="D77" s="22" t="s">
        <v>118</v>
      </c>
    </row>
    <row r="78" spans="1:7">
      <c r="A78" s="22"/>
      <c r="B78" s="22"/>
      <c r="C78" s="22"/>
      <c r="D78" s="22"/>
    </row>
    <row r="79" spans="1:7">
      <c r="A79" s="23" t="s">
        <v>119</v>
      </c>
      <c r="B79" s="24" t="s">
        <v>120</v>
      </c>
      <c r="C79" s="24" t="s">
        <v>121</v>
      </c>
      <c r="D79" s="24">
        <v>516</v>
      </c>
      <c r="E79" s="24">
        <v>146</v>
      </c>
      <c r="F79" s="24">
        <v>4</v>
      </c>
      <c r="G79" s="24">
        <v>1</v>
      </c>
    </row>
    <row r="80" spans="1:7">
      <c r="A80" s="23"/>
      <c r="B80" s="24"/>
      <c r="C80" s="24"/>
      <c r="D80" s="24"/>
      <c r="E80" s="24"/>
      <c r="F80" s="24"/>
      <c r="G80" s="24"/>
    </row>
    <row r="81" spans="1:7">
      <c r="A81" s="23" t="s">
        <v>122</v>
      </c>
      <c r="B81" s="24" t="s">
        <v>123</v>
      </c>
      <c r="C81" s="24" t="s">
        <v>123</v>
      </c>
      <c r="D81" s="24">
        <v>85</v>
      </c>
      <c r="E81" s="24">
        <v>71</v>
      </c>
      <c r="F81" s="24">
        <v>11</v>
      </c>
      <c r="G81" s="24">
        <v>0</v>
      </c>
    </row>
    <row r="82" spans="1:7">
      <c r="A82" s="23"/>
      <c r="B82" s="24"/>
      <c r="C82" s="24"/>
      <c r="D82" s="24"/>
      <c r="E82" s="24"/>
      <c r="F82" s="24"/>
      <c r="G82" s="24"/>
    </row>
    <row r="84" spans="1:7">
      <c r="A84" s="19" t="s">
        <v>124</v>
      </c>
    </row>
    <row r="85" spans="1:7">
      <c r="A85" s="19" t="s">
        <v>125</v>
      </c>
    </row>
    <row r="90" spans="1:7" s="26" customFormat="1" ht="26">
      <c r="A90" s="28" t="s">
        <v>127</v>
      </c>
    </row>
    <row r="91" spans="1:7" ht="24">
      <c r="A91" s="25" t="s">
        <v>128</v>
      </c>
    </row>
    <row r="92" spans="1:7" ht="24">
      <c r="A92" s="25" t="s">
        <v>126</v>
      </c>
    </row>
    <row r="95" spans="1:7" s="26" customFormat="1" ht="23">
      <c r="A95" s="29" t="s">
        <v>130</v>
      </c>
    </row>
    <row r="96" spans="1:7" ht="24">
      <c r="A96" s="25" t="s">
        <v>129</v>
      </c>
    </row>
    <row r="99" spans="1:1" s="26" customFormat="1" ht="26">
      <c r="A99" s="28" t="s">
        <v>132</v>
      </c>
    </row>
    <row r="100" spans="1:1" s="26" customFormat="1" ht="23">
      <c r="A100" s="29" t="s">
        <v>133</v>
      </c>
    </row>
    <row r="101" spans="1:1" ht="24">
      <c r="A101" s="25" t="s">
        <v>131</v>
      </c>
    </row>
    <row r="104" spans="1:1">
      <c r="A104" s="33" t="s">
        <v>134</v>
      </c>
    </row>
  </sheetData>
  <mergeCells count="23">
    <mergeCell ref="G79:G80"/>
    <mergeCell ref="A81:A82"/>
    <mergeCell ref="B81:B82"/>
    <mergeCell ref="C81:C82"/>
    <mergeCell ref="D81:D82"/>
    <mergeCell ref="E81:E82"/>
    <mergeCell ref="F81:F82"/>
    <mergeCell ref="G81:G82"/>
    <mergeCell ref="A79:A80"/>
    <mergeCell ref="B79:B80"/>
    <mergeCell ref="C79:C80"/>
    <mergeCell ref="D79:D80"/>
    <mergeCell ref="E79:E80"/>
    <mergeCell ref="F79:F80"/>
    <mergeCell ref="A50:M50"/>
    <mergeCell ref="A75:A76"/>
    <mergeCell ref="B75:B76"/>
    <mergeCell ref="C75:C76"/>
    <mergeCell ref="D75:D76"/>
    <mergeCell ref="A77:A78"/>
    <mergeCell ref="B77:B78"/>
    <mergeCell ref="C77:C78"/>
    <mergeCell ref="D77:D78"/>
  </mergeCells>
  <hyperlinks>
    <hyperlink ref="A92" r:id="rId1" location="ref-CR7" tooltip="Lee, H. &amp; Romero, J. eds. Climate Change 2023: Synthesis Report. Contribution of Working Groups I, II and III to the Sixth Assessment Report of the Intergovernmental Panel on Climate Change. (IPCC, 2023)." display="https://www.nature.com/articles/s41558-024-02025-y - ref-CR7" xr:uid="{6DDD23B9-7CAC-394D-A70B-4BD7FF9F2E6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B4AD-5447-7046-8699-637EEB075BDA}">
  <dimension ref="F11:G16"/>
  <sheetViews>
    <sheetView topLeftCell="E5" zoomScale="125" workbookViewId="0">
      <selection activeCell="G24" sqref="G24"/>
    </sheetView>
  </sheetViews>
  <sheetFormatPr baseColWidth="10" defaultRowHeight="16"/>
  <cols>
    <col min="6" max="6" width="19" bestFit="1" customWidth="1"/>
  </cols>
  <sheetData>
    <row r="11" spans="6:7">
      <c r="F11" t="s">
        <v>135</v>
      </c>
      <c r="G11">
        <v>-13</v>
      </c>
    </row>
    <row r="12" spans="6:7">
      <c r="F12" t="s">
        <v>136</v>
      </c>
      <c r="G12">
        <v>2</v>
      </c>
    </row>
    <row r="13" spans="6:7">
      <c r="F13" t="s">
        <v>137</v>
      </c>
      <c r="G13">
        <v>4</v>
      </c>
    </row>
    <row r="14" spans="6:7">
      <c r="F14" t="s">
        <v>138</v>
      </c>
      <c r="G14">
        <v>5</v>
      </c>
    </row>
    <row r="15" spans="6:7">
      <c r="F15" t="s">
        <v>139</v>
      </c>
      <c r="G15">
        <v>1</v>
      </c>
    </row>
    <row r="16" spans="6:7">
      <c r="F16" t="s">
        <v>140</v>
      </c>
      <c r="G16">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Radial Bar Chart</vt:lpstr>
      <vt:lpstr>Sankey Diagram</vt:lpstr>
      <vt:lpstr>Lit</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FERAS ABDULLA</dc:creator>
  <cp:lastModifiedBy>FERAS ABDULLA</cp:lastModifiedBy>
  <dcterms:created xsi:type="dcterms:W3CDTF">2025-02-11T02:00:17Z</dcterms:created>
  <dcterms:modified xsi:type="dcterms:W3CDTF">2025-03-08T10:48:37Z</dcterms:modified>
</cp:coreProperties>
</file>